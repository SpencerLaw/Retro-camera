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初一" sheetId="2" r:id="rId1"/>
    <sheet name="初二" sheetId="3" r:id="rId2"/>
    <sheet name="初三" sheetId="4" r:id="rId3"/>
    <sheet name="高一" sheetId="5" r:id="rId4"/>
    <sheet name="高二" sheetId="6" r:id="rId5"/>
    <sheet name="高三" sheetId="7" r:id="rId6"/>
  </sheets>
  <definedNames>
    <definedName name="_xlnm._FilterDatabase" localSheetId="0" hidden="1">初一!$A$3:$AC$5</definedName>
    <definedName name="_xlnm._FilterDatabase" localSheetId="1" hidden="1">初二!#REF!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<sst xmlns="http://schemas.openxmlformats.org/spreadsheetml/2006/main" count="1093" uniqueCount="248">
  <si>
    <r>
      <rPr>
        <sz val="16"/>
        <rFont val="黑体"/>
        <charset val="134"/>
      </rPr>
      <t>陕西实验中学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学年度第一学期初一教师岗位聘任情况一览表</t>
    </r>
  </si>
  <si>
    <t>从2026年3月2日开始执行</t>
  </si>
  <si>
    <t>年级</t>
  </si>
  <si>
    <t>领导</t>
  </si>
  <si>
    <t>主任</t>
  </si>
  <si>
    <t>备课组长</t>
  </si>
  <si>
    <t>班级</t>
  </si>
  <si>
    <t>班型</t>
  </si>
  <si>
    <t>班主任</t>
  </si>
  <si>
    <t>语文</t>
  </si>
  <si>
    <t>节</t>
  </si>
  <si>
    <t>数学</t>
  </si>
  <si>
    <t>英语</t>
  </si>
  <si>
    <t>政治</t>
  </si>
  <si>
    <t>历史</t>
  </si>
  <si>
    <t>地理</t>
  </si>
  <si>
    <t>生物</t>
  </si>
  <si>
    <t>体育</t>
  </si>
  <si>
    <t>劳动</t>
  </si>
  <si>
    <t>音</t>
  </si>
  <si>
    <t>美</t>
  </si>
  <si>
    <t>信息</t>
  </si>
  <si>
    <t>心理</t>
  </si>
  <si>
    <t>周
课
时</t>
  </si>
  <si>
    <t>初      
     一
    年
   级</t>
  </si>
  <si>
    <t>汪洋</t>
  </si>
  <si>
    <t xml:space="preserve">刘静
陈瑞雪
</t>
  </si>
  <si>
    <t xml:space="preserve">语：张蓓蕾
数：闫瑞雪   
英：刘  静
政史地：张璐歌
体育音美信：姚琦
</t>
  </si>
  <si>
    <t>云班</t>
  </si>
  <si>
    <t>李依涵</t>
  </si>
  <si>
    <t>张蓓蕾</t>
  </si>
  <si>
    <t>刘静</t>
  </si>
  <si>
    <t>高会敏</t>
  </si>
  <si>
    <t>安冰华</t>
  </si>
  <si>
    <t>王勇</t>
  </si>
  <si>
    <t>杨茹</t>
  </si>
  <si>
    <t>郑乃武</t>
  </si>
  <si>
    <t>陈聪敏</t>
  </si>
  <si>
    <t>张姬娟</t>
  </si>
  <si>
    <t>胡宝峰</t>
  </si>
  <si>
    <t>齐宁</t>
  </si>
  <si>
    <t>牛静</t>
  </si>
  <si>
    <t>普通班</t>
  </si>
  <si>
    <t>陈瑞雪</t>
  </si>
  <si>
    <t>王丽</t>
  </si>
  <si>
    <t>李广</t>
  </si>
  <si>
    <t>王文远</t>
  </si>
  <si>
    <t>陈玲歌</t>
  </si>
  <si>
    <t>颜丹</t>
  </si>
  <si>
    <t>杜娟</t>
  </si>
  <si>
    <t>闫瑞雪</t>
  </si>
  <si>
    <t>罗丹</t>
  </si>
  <si>
    <t>李亚振</t>
  </si>
  <si>
    <r>
      <rPr>
        <sz val="16"/>
        <rFont val="黑体"/>
        <charset val="134"/>
      </rPr>
      <t>实验中学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学年度第二学期初二教师岗位聘任情况一览表</t>
    </r>
  </si>
  <si>
    <t>从2026年3月1日开始执行</t>
  </si>
  <si>
    <t>分层</t>
  </si>
  <si>
    <t>物理</t>
  </si>
  <si>
    <t>化学</t>
  </si>
  <si>
    <t>音美</t>
  </si>
  <si>
    <t>信</t>
  </si>
  <si>
    <t>初
二
    年
   级</t>
  </si>
  <si>
    <t xml:space="preserve">王少飞
</t>
  </si>
  <si>
    <t xml:space="preserve">毛曙静
王永香
</t>
  </si>
  <si>
    <t>语：仝锦霞
数：毛曙静 
英：王永香
政：张璐歌  
史：张璐歌       
地：张璐歌  
物：焦广利
生：焦广利           
体：姚  琦</t>
  </si>
  <si>
    <t>仝锦霞</t>
  </si>
  <si>
    <t>毛曙静</t>
  </si>
  <si>
    <t>施  媛</t>
  </si>
  <si>
    <t>林华峰</t>
  </si>
  <si>
    <t>张璐歌</t>
  </si>
  <si>
    <t>李俏</t>
  </si>
  <si>
    <t>屈欣瑶</t>
  </si>
  <si>
    <t>3</t>
  </si>
  <si>
    <t>张凤琴</t>
  </si>
  <si>
    <t>陈  涛</t>
  </si>
  <si>
    <t>王少飞</t>
  </si>
  <si>
    <t>胡宝锋</t>
  </si>
  <si>
    <t>王建录</t>
  </si>
  <si>
    <t>李碧亭</t>
  </si>
  <si>
    <t>魏  敏</t>
  </si>
  <si>
    <t>王伊宁</t>
  </si>
  <si>
    <t>汪梦琦</t>
  </si>
  <si>
    <t>王浩</t>
  </si>
  <si>
    <t>雷聪霖</t>
  </si>
  <si>
    <t>方雨婷</t>
  </si>
  <si>
    <t>王永香</t>
  </si>
  <si>
    <r>
      <rPr>
        <sz val="16"/>
        <rFont val="黑体"/>
        <charset val="134"/>
      </rPr>
      <t>实验中学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学年度第二学期初三教师岗位聘任情况一览表</t>
    </r>
  </si>
  <si>
    <t>通用</t>
  </si>
  <si>
    <t>初
三
    年
   级</t>
  </si>
  <si>
    <t>李荣</t>
  </si>
  <si>
    <t>高会敏
焦广利
高婉莎</t>
  </si>
  <si>
    <t>语：党  菲
数：王晨光  
英：高婉莎 
政：高会敏  
史：高会敏       
地：高会敏  
物化：焦广利         
体：姚  琦</t>
  </si>
  <si>
    <t>线展叶</t>
  </si>
  <si>
    <t>党  菲</t>
  </si>
  <si>
    <t>纪文利</t>
  </si>
  <si>
    <t>祁维辉</t>
  </si>
  <si>
    <t>焦广利</t>
  </si>
  <si>
    <t>4</t>
  </si>
  <si>
    <t>刘仙妹</t>
  </si>
  <si>
    <t>姚  琦</t>
  </si>
  <si>
    <t>燕  蕾</t>
  </si>
  <si>
    <t>杨洲琴</t>
  </si>
  <si>
    <t>燕 蕾</t>
  </si>
  <si>
    <t>田红玲</t>
  </si>
  <si>
    <t>王  露</t>
  </si>
  <si>
    <t>仝梅娜</t>
  </si>
  <si>
    <t>王晨光</t>
  </si>
  <si>
    <t>赵颖维</t>
  </si>
  <si>
    <t>葛亚东</t>
  </si>
  <si>
    <t>闫忠道</t>
  </si>
  <si>
    <t>杨亲霞</t>
  </si>
  <si>
    <t>高婉莎</t>
  </si>
  <si>
    <t>关梦迪</t>
  </si>
  <si>
    <t>田佳欣</t>
  </si>
  <si>
    <r>
      <rPr>
        <sz val="16"/>
        <rFont val="黑体"/>
        <charset val="134"/>
      </rPr>
      <t>陕西实验中学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学年度第一学期高一教师岗位聘任情况一览表</t>
    </r>
  </si>
  <si>
    <t>高      
     一
    年
   级</t>
  </si>
  <si>
    <t>李锦</t>
  </si>
  <si>
    <t xml:space="preserve">米智静、刘颖、张静 </t>
  </si>
  <si>
    <t xml:space="preserve">语：张爱茸
数：姚玲玲   
英：折阿倩
政：崔奥迎  
史：米智静        
地：邓婉莹   
物：张静        
化：郭妮  
生：王玮颖  
体：肖翔鸽  
信：谢怡 
美：刘林霞
音：尹瀚宇
</t>
  </si>
  <si>
    <t>物化生</t>
  </si>
  <si>
    <t>张爱茸</t>
  </si>
  <si>
    <t>姚玲玲</t>
  </si>
  <si>
    <t>折阿倩</t>
  </si>
  <si>
    <t>米智静</t>
  </si>
  <si>
    <t>1</t>
  </si>
  <si>
    <t>邓婉莹</t>
  </si>
  <si>
    <t>张静</t>
  </si>
  <si>
    <t>6</t>
  </si>
  <si>
    <t>郭妮</t>
  </si>
  <si>
    <t>王玮颖</t>
  </si>
  <si>
    <t>王俊驰</t>
  </si>
  <si>
    <t>尹瀚宇</t>
  </si>
  <si>
    <t>刘林霞</t>
  </si>
  <si>
    <t>谢怡</t>
  </si>
  <si>
    <t>刘颖</t>
  </si>
  <si>
    <t>张文刚</t>
  </si>
  <si>
    <t>燕润旭</t>
  </si>
  <si>
    <t>创新班</t>
  </si>
  <si>
    <t>高春燕</t>
  </si>
  <si>
    <t>张霜</t>
  </si>
  <si>
    <t>5</t>
  </si>
  <si>
    <t>陈春霞</t>
  </si>
  <si>
    <t>李美玉</t>
  </si>
  <si>
    <t>万学瑞</t>
  </si>
  <si>
    <t>李红叶</t>
  </si>
  <si>
    <t>杨冬梅</t>
  </si>
  <si>
    <t>物化地</t>
  </si>
  <si>
    <t>殷佳怡</t>
  </si>
  <si>
    <t>全悦</t>
  </si>
  <si>
    <t>倪梦哲</t>
  </si>
  <si>
    <t>高晓静</t>
  </si>
  <si>
    <t>政史地</t>
  </si>
  <si>
    <t>程燕</t>
  </si>
  <si>
    <t>赵彭丽</t>
  </si>
  <si>
    <t>骆苏芮</t>
  </si>
  <si>
    <t>王静怡</t>
  </si>
  <si>
    <t>肖翔鸽</t>
  </si>
  <si>
    <t>重点班</t>
  </si>
  <si>
    <t>成谊</t>
  </si>
  <si>
    <t>商叶明</t>
  </si>
  <si>
    <t>马国胜</t>
  </si>
  <si>
    <t>李洁</t>
  </si>
  <si>
    <t>麻伊迪</t>
  </si>
  <si>
    <t>史政地</t>
  </si>
  <si>
    <t>平行班</t>
  </si>
  <si>
    <t>高雪</t>
  </si>
  <si>
    <t>崔奥迎</t>
  </si>
  <si>
    <t>高春社</t>
  </si>
  <si>
    <t>李春萍</t>
  </si>
  <si>
    <t>史政生</t>
  </si>
  <si>
    <t>李健</t>
  </si>
  <si>
    <t>走班</t>
  </si>
  <si>
    <r>
      <rPr>
        <sz val="16"/>
        <rFont val="黑体"/>
        <charset val="134"/>
      </rPr>
      <t>陕西实验高级中学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学年度第二学期高二教师岗位聘任情况一览表</t>
    </r>
  </si>
  <si>
    <t>高      
     二
    年
   级</t>
  </si>
  <si>
    <t>钱赛</t>
  </si>
  <si>
    <t>王静波
王锐静
杨蓓蕾</t>
  </si>
  <si>
    <t xml:space="preserve">语：董  艳
数：王静波  
英：葛胜旗 
政：高  瑜  
史：杨思瑞       
地：邵继东   
物：王锐静         
化：王串串  
生：吴航利  
体：李  洋  
</t>
  </si>
  <si>
    <t>王静波</t>
  </si>
  <si>
    <t>董艳</t>
  </si>
  <si>
    <t>杨蓓蕾</t>
  </si>
  <si>
    <t>高  瑜</t>
  </si>
  <si>
    <t>王锐静</t>
  </si>
  <si>
    <t>王串串</t>
  </si>
  <si>
    <t>吴航利</t>
  </si>
  <si>
    <t>李洋</t>
  </si>
  <si>
    <t>牟晗</t>
  </si>
  <si>
    <t>葛胜旗</t>
  </si>
  <si>
    <t>李  磊</t>
  </si>
  <si>
    <t>张梦婷</t>
  </si>
  <si>
    <t>贾立红</t>
  </si>
  <si>
    <t>李萍</t>
  </si>
  <si>
    <t>马珍珍</t>
  </si>
  <si>
    <t>王肖迪</t>
  </si>
  <si>
    <t>朱思佳</t>
  </si>
  <si>
    <t>王一</t>
  </si>
  <si>
    <t>张红旗</t>
  </si>
  <si>
    <t>原璐瑶</t>
  </si>
  <si>
    <t>冯阿凡</t>
  </si>
  <si>
    <t>陈越亚</t>
  </si>
  <si>
    <t>张庆林</t>
  </si>
  <si>
    <t>吕姝彤</t>
  </si>
  <si>
    <t>物化政</t>
  </si>
  <si>
    <t>李琳</t>
  </si>
  <si>
    <t>李元</t>
  </si>
  <si>
    <t>谭  叶</t>
  </si>
  <si>
    <t>特物化</t>
  </si>
  <si>
    <t>马建萍</t>
  </si>
  <si>
    <t>宋怡娜</t>
  </si>
  <si>
    <t>邵继东</t>
  </si>
  <si>
    <t>李煜</t>
  </si>
  <si>
    <t>历政地</t>
  </si>
  <si>
    <t>杨思瑞</t>
  </si>
  <si>
    <t>万恒菲</t>
  </si>
  <si>
    <r>
      <rPr>
        <sz val="16"/>
        <rFont val="黑体"/>
        <charset val="134"/>
      </rPr>
      <t>陕西实验高级中学</t>
    </r>
    <r>
      <rPr>
        <sz val="16"/>
        <rFont val="Times New Roman"/>
        <charset val="134"/>
      </rPr>
      <t>2025~2026</t>
    </r>
    <r>
      <rPr>
        <sz val="16"/>
        <rFont val="黑体"/>
        <charset val="134"/>
      </rPr>
      <t>学年度第二学期高三教师岗位聘任情况一览表</t>
    </r>
  </si>
  <si>
    <t>科类</t>
  </si>
  <si>
    <t>课时
合计</t>
  </si>
  <si>
    <t>高
三
年
级</t>
  </si>
  <si>
    <t>杨勇</t>
  </si>
  <si>
    <t>郑毅
周良军
薛柳</t>
  </si>
  <si>
    <t xml:space="preserve">语：唐显
数：郑毅
英：寇立英
政：陈倩
史：马国胜
地：邵继东
物：高艳
化：马展迎
生：孟婵娟
</t>
  </si>
  <si>
    <t>郑毅</t>
  </si>
  <si>
    <t>唐显</t>
  </si>
  <si>
    <t>桂妙妙</t>
  </si>
  <si>
    <t>高艳</t>
  </si>
  <si>
    <t>马展迎</t>
  </si>
  <si>
    <t>孟婵娟</t>
  </si>
  <si>
    <t>寇立英</t>
  </si>
  <si>
    <t>任磊</t>
  </si>
  <si>
    <t>周良军</t>
  </si>
  <si>
    <t>陈倩</t>
  </si>
  <si>
    <t>王燕谋</t>
  </si>
  <si>
    <t>薛柳</t>
  </si>
  <si>
    <t>张玲</t>
  </si>
  <si>
    <t>张慢</t>
  </si>
  <si>
    <t>杨文娟</t>
  </si>
  <si>
    <t>唐娟丽</t>
  </si>
  <si>
    <t>王建军</t>
  </si>
  <si>
    <t>陈蓉</t>
  </si>
  <si>
    <t>刘旭</t>
  </si>
  <si>
    <t>孟田田</t>
  </si>
  <si>
    <t>肖照</t>
  </si>
  <si>
    <t>赵露</t>
  </si>
  <si>
    <t>李亚飞</t>
  </si>
  <si>
    <t>李媛擎</t>
  </si>
  <si>
    <t>李艳玲</t>
  </si>
  <si>
    <t>姚满彦</t>
  </si>
  <si>
    <t>张珍</t>
  </si>
  <si>
    <t>程俊轲</t>
  </si>
  <si>
    <t>乔启迪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</si>
</sst>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;[Red]0.0"/>
  </numFmts>
  <fonts count="36">
    <font>
      <sz val="12"/>
      <name val="宋体"/>
      <charset val="134"/>
    </font>
    <font>
      <sz val="12"/>
      <color indexed="8"/>
      <name val="宋体"/>
      <charset val="134"/>
    </font>
    <font>
      <sz val="10.5"/>
      <color indexed="8"/>
      <name val="宋体"/>
      <charset val="134"/>
    </font>
    <font>
      <sz val="16"/>
      <name val="黑体"/>
      <charset val="134"/>
    </font>
    <font>
      <sz val="20"/>
      <name val="黑体"/>
      <charset val="134"/>
    </font>
    <font>
      <b/>
      <sz val="10"/>
      <name val="仿宋"/>
      <charset val="134"/>
    </font>
    <font>
      <b/>
      <sz val="8"/>
      <name val="黑体"/>
      <charset val="134"/>
    </font>
    <font>
      <b/>
      <sz val="6"/>
      <name val="黑体"/>
      <charset val="134"/>
    </font>
    <font>
      <sz val="8"/>
      <name val="宋体"/>
      <charset val="134"/>
    </font>
    <font>
      <sz val="8"/>
      <color indexed="8"/>
      <name val="宋体"/>
      <charset val="134"/>
    </font>
    <font>
      <sz val="10.5"/>
      <color indexed="10"/>
      <name val="宋体"/>
      <charset val="134"/>
    </font>
    <font>
      <sz val="8"/>
      <name val="黑体"/>
      <charset val="134"/>
    </font>
    <font>
      <sz val="8"/>
      <name val="宋体"/>
      <charset val="134"/>
      <scheme val="minor"/>
    </font>
    <font>
      <sz val="6"/>
      <color indexed="8"/>
      <name val="宋体"/>
      <charset val="134"/>
    </font>
    <font>
      <sz val="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2" applyNumberFormat="0" applyAlignment="0" applyProtection="0">
      <alignment vertical="center"/>
    </xf>
    <xf numFmtId="0" fontId="25" fillId="4" borderId="13" applyNumberFormat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8" fillId="0" borderId="2" xfId="49" applyFont="1" applyFill="1" applyBorder="1" applyAlignment="1">
      <alignment horizontal="center" vertical="center"/>
    </xf>
    <xf numFmtId="0" fontId="8" fillId="0" borderId="2" xfId="50" applyFont="1" applyFill="1" applyBorder="1" applyAlignment="1">
      <alignment horizontal="center" vertical="center"/>
    </xf>
    <xf numFmtId="0" fontId="8" fillId="0" borderId="2" xfId="52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51" applyFont="1" applyFill="1" applyBorder="1" applyAlignment="1">
      <alignment horizontal="center" vertical="center"/>
    </xf>
    <xf numFmtId="0" fontId="8" fillId="0" borderId="2" xfId="5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0" fontId="2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2" fillId="0" borderId="2" xfId="52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12" fillId="0" borderId="2" xfId="52" applyFont="1" applyFill="1" applyBorder="1">
      <alignment vertical="center"/>
    </xf>
    <xf numFmtId="0" fontId="10" fillId="0" borderId="0" xfId="0" applyFont="1" applyFill="1">
      <alignment vertical="center"/>
    </xf>
    <xf numFmtId="176" fontId="13" fillId="0" borderId="0" xfId="0" applyNumberFormat="1" applyFont="1" applyFill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>
      <alignment vertical="center"/>
    </xf>
    <xf numFmtId="0" fontId="8" fillId="0" borderId="2" xfId="50" applyFont="1" applyFill="1" applyBorder="1" applyAlignment="1">
      <alignment vertical="center"/>
    </xf>
    <xf numFmtId="176" fontId="8" fillId="0" borderId="2" xfId="50" applyNumberFormat="1" applyFont="1" applyFill="1" applyBorder="1" applyAlignment="1">
      <alignment vertical="center"/>
    </xf>
    <xf numFmtId="176" fontId="11" fillId="0" borderId="2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9" fillId="0" borderId="0" xfId="0" applyFont="1" applyFill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6" fontId="9" fillId="0" borderId="2" xfId="0" applyNumberFormat="1" applyFont="1" applyFill="1" applyBorder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>
      <alignment vertical="center"/>
    </xf>
    <xf numFmtId="0" fontId="14" fillId="0" borderId="2" xfId="51" applyFont="1" applyFill="1" applyBorder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8" fillId="0" borderId="2" xfId="50" applyNumberFormat="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workbookViewId="0">
      <pane ySplit="1" topLeftCell="A2" activePane="bottomLeft" state="frozen"/>
      <selection/>
      <selection pane="bottomLeft" activeCell="P22" sqref="P22"/>
    </sheetView>
  </sheetViews>
  <sheetFormatPr defaultColWidth="9" defaultRowHeight="14.25"/>
  <cols>
    <col min="1" max="1" width="2.5" style="3" customWidth="1"/>
    <col min="2" max="2" width="2.25" style="1" customWidth="1"/>
    <col min="3" max="3" width="2.75" style="1" customWidth="1"/>
    <col min="4" max="4" width="8.875" style="1" customWidth="1"/>
    <col min="5" max="5" width="3.125" style="1" customWidth="1"/>
    <col min="6" max="7" width="5.375" style="2" customWidth="1"/>
    <col min="8" max="8" width="5.75" style="2" customWidth="1"/>
    <col min="9" max="9" width="3.125" style="1" customWidth="1"/>
    <col min="10" max="10" width="5.125" style="2" customWidth="1"/>
    <col min="11" max="11" width="2.625" style="1" customWidth="1"/>
    <col min="12" max="12" width="4.875" style="5" customWidth="1"/>
    <col min="13" max="13" width="2.625" style="1" customWidth="1"/>
    <col min="14" max="14" width="5.375" style="2" customWidth="1"/>
    <col min="15" max="15" width="2.625" style="1" customWidth="1"/>
    <col min="16" max="16" width="5.75" style="2" customWidth="1"/>
    <col min="17" max="17" width="2.625" style="1" customWidth="1"/>
    <col min="18" max="18" width="5.125" style="2" customWidth="1"/>
    <col min="19" max="19" width="2.625" style="1" customWidth="1"/>
    <col min="20" max="20" width="4.5" style="2" customWidth="1"/>
    <col min="21" max="21" width="2.625" style="1" customWidth="1"/>
    <col min="22" max="22" width="5.625" style="2" customWidth="1"/>
    <col min="23" max="23" width="2.625" style="1" customWidth="1"/>
    <col min="24" max="24" width="4.44166666666667" style="1" customWidth="1"/>
    <col min="25" max="25" width="2.625" style="1" customWidth="1"/>
    <col min="26" max="26" width="4.625" style="1" customWidth="1"/>
    <col min="27" max="27" width="2.625" style="59" customWidth="1"/>
    <col min="28" max="28" width="4.89166666666667" style="1" customWidth="1"/>
    <col min="29" max="29" width="3.125" style="60" customWidth="1"/>
    <col min="30" max="30" width="5.35" style="1" customWidth="1"/>
    <col min="31" max="31" width="2.625" style="1" customWidth="1"/>
    <col min="32" max="32" width="4.74166666666667" style="1" customWidth="1"/>
    <col min="33" max="34" width="3.125" style="1" customWidth="1"/>
    <col min="35" max="16384" width="9" style="1"/>
  </cols>
  <sheetData>
    <row r="1" ht="56" customHeight="1" spans="1:34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61"/>
      <c r="AB1" s="29"/>
      <c r="AC1" s="61"/>
      <c r="AD1" s="29"/>
      <c r="AE1" s="29"/>
      <c r="AF1" s="29"/>
      <c r="AG1" s="29"/>
      <c r="AH1" s="29"/>
    </row>
    <row r="2" ht="23" customHeight="1" spans="1:3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 t="s">
        <v>1</v>
      </c>
      <c r="U2" s="9"/>
      <c r="V2" s="9"/>
      <c r="W2" s="9"/>
      <c r="X2" s="9"/>
      <c r="Y2" s="9"/>
      <c r="Z2" s="9"/>
      <c r="AA2" s="62"/>
      <c r="AB2" s="9"/>
      <c r="AC2" s="62"/>
      <c r="AD2" s="9"/>
      <c r="AE2" s="9"/>
      <c r="AF2" s="9"/>
      <c r="AG2" s="9"/>
      <c r="AH2" s="9"/>
    </row>
    <row r="3" s="2" customFormat="1" ht="27" customHeight="1" spans="1:34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10</v>
      </c>
      <c r="L3" s="11" t="s">
        <v>12</v>
      </c>
      <c r="M3" s="11" t="s">
        <v>10</v>
      </c>
      <c r="N3" s="11" t="s">
        <v>13</v>
      </c>
      <c r="O3" s="11" t="s">
        <v>10</v>
      </c>
      <c r="P3" s="11" t="s">
        <v>14</v>
      </c>
      <c r="Q3" s="11" t="s">
        <v>10</v>
      </c>
      <c r="R3" s="11" t="s">
        <v>15</v>
      </c>
      <c r="S3" s="11" t="s">
        <v>10</v>
      </c>
      <c r="T3" s="11" t="s">
        <v>16</v>
      </c>
      <c r="U3" s="11" t="s">
        <v>10</v>
      </c>
      <c r="V3" s="11" t="s">
        <v>17</v>
      </c>
      <c r="W3" s="11" t="s">
        <v>10</v>
      </c>
      <c r="X3" s="11" t="s">
        <v>18</v>
      </c>
      <c r="Y3" s="11" t="s">
        <v>10</v>
      </c>
      <c r="Z3" s="11" t="s">
        <v>19</v>
      </c>
      <c r="AA3" s="34" t="s">
        <v>10</v>
      </c>
      <c r="AB3" s="11" t="s">
        <v>20</v>
      </c>
      <c r="AC3" s="34" t="s">
        <v>10</v>
      </c>
      <c r="AD3" s="10" t="s">
        <v>21</v>
      </c>
      <c r="AE3" s="11" t="s">
        <v>10</v>
      </c>
      <c r="AF3" s="12" t="s">
        <v>22</v>
      </c>
      <c r="AG3" s="11" t="s">
        <v>10</v>
      </c>
      <c r="AH3" s="12" t="s">
        <v>23</v>
      </c>
    </row>
    <row r="4" s="2" customFormat="1" ht="30" customHeight="1" spans="1:34">
      <c r="A4" s="10" t="s">
        <v>24</v>
      </c>
      <c r="B4" s="10" t="s">
        <v>25</v>
      </c>
      <c r="C4" s="10" t="s">
        <v>26</v>
      </c>
      <c r="D4" s="63" t="s">
        <v>27</v>
      </c>
      <c r="E4" s="64">
        <v>1</v>
      </c>
      <c r="F4" s="30" t="s">
        <v>28</v>
      </c>
      <c r="G4" s="30" t="s">
        <v>29</v>
      </c>
      <c r="H4" s="30" t="s">
        <v>30</v>
      </c>
      <c r="I4" s="31">
        <v>7</v>
      </c>
      <c r="J4" s="30" t="s">
        <v>29</v>
      </c>
      <c r="K4" s="31">
        <v>7</v>
      </c>
      <c r="L4" s="17" t="s">
        <v>31</v>
      </c>
      <c r="M4" s="31">
        <v>7</v>
      </c>
      <c r="N4" s="18" t="s">
        <v>32</v>
      </c>
      <c r="O4" s="31">
        <v>2</v>
      </c>
      <c r="P4" s="30" t="s">
        <v>33</v>
      </c>
      <c r="Q4" s="65">
        <v>2</v>
      </c>
      <c r="R4" s="18" t="s">
        <v>34</v>
      </c>
      <c r="S4" s="31">
        <v>2</v>
      </c>
      <c r="T4" s="18" t="s">
        <v>35</v>
      </c>
      <c r="U4" s="31">
        <v>2</v>
      </c>
      <c r="V4" s="30" t="s">
        <v>36</v>
      </c>
      <c r="W4" s="31">
        <v>2</v>
      </c>
      <c r="X4" s="31" t="s">
        <v>25</v>
      </c>
      <c r="Y4" s="31">
        <v>1</v>
      </c>
      <c r="Z4" s="44" t="s">
        <v>37</v>
      </c>
      <c r="AA4" s="66">
        <v>1</v>
      </c>
      <c r="AB4" s="18" t="s">
        <v>38</v>
      </c>
      <c r="AC4" s="65">
        <v>0.5</v>
      </c>
      <c r="AD4" s="18" t="s">
        <v>39</v>
      </c>
      <c r="AE4" s="31">
        <v>1</v>
      </c>
      <c r="AF4" s="31" t="s">
        <v>40</v>
      </c>
      <c r="AG4" s="31">
        <v>0.5</v>
      </c>
      <c r="AH4" s="31">
        <v>35</v>
      </c>
    </row>
    <row r="5" s="2" customFormat="1" ht="30" customHeight="1" spans="1:34">
      <c r="A5" s="10"/>
      <c r="B5" s="10"/>
      <c r="C5" s="10"/>
      <c r="D5" s="63"/>
      <c r="E5" s="64">
        <v>2</v>
      </c>
      <c r="F5" s="30" t="s">
        <v>28</v>
      </c>
      <c r="G5" s="16" t="s">
        <v>31</v>
      </c>
      <c r="H5" s="30" t="s">
        <v>41</v>
      </c>
      <c r="I5" s="31">
        <v>7</v>
      </c>
      <c r="J5" s="30" t="s">
        <v>29</v>
      </c>
      <c r="K5" s="31">
        <v>7</v>
      </c>
      <c r="L5" s="17" t="s">
        <v>31</v>
      </c>
      <c r="M5" s="31">
        <v>7</v>
      </c>
      <c r="N5" s="18" t="s">
        <v>32</v>
      </c>
      <c r="O5" s="31">
        <v>2</v>
      </c>
      <c r="P5" s="30" t="s">
        <v>33</v>
      </c>
      <c r="Q5" s="65">
        <v>2</v>
      </c>
      <c r="R5" s="18" t="s">
        <v>34</v>
      </c>
      <c r="S5" s="31">
        <v>2</v>
      </c>
      <c r="T5" s="18" t="s">
        <v>35</v>
      </c>
      <c r="U5" s="31">
        <v>2</v>
      </c>
      <c r="V5" s="30" t="s">
        <v>36</v>
      </c>
      <c r="W5" s="31">
        <v>2</v>
      </c>
      <c r="X5" s="31" t="s">
        <v>25</v>
      </c>
      <c r="Y5" s="31">
        <v>1</v>
      </c>
      <c r="Z5" s="44" t="s">
        <v>37</v>
      </c>
      <c r="AA5" s="66">
        <v>1</v>
      </c>
      <c r="AB5" s="18" t="s">
        <v>38</v>
      </c>
      <c r="AC5" s="65">
        <v>0.5</v>
      </c>
      <c r="AD5" s="18" t="s">
        <v>39</v>
      </c>
      <c r="AE5" s="31">
        <v>1</v>
      </c>
      <c r="AF5" s="31" t="s">
        <v>40</v>
      </c>
      <c r="AG5" s="31">
        <v>0.5</v>
      </c>
      <c r="AH5" s="31">
        <v>35</v>
      </c>
    </row>
    <row r="6" s="2" customFormat="1" ht="30" customHeight="1" spans="1:34">
      <c r="A6" s="10"/>
      <c r="B6" s="10"/>
      <c r="C6" s="10"/>
      <c r="D6" s="63"/>
      <c r="E6" s="64">
        <v>3</v>
      </c>
      <c r="F6" s="30" t="s">
        <v>42</v>
      </c>
      <c r="G6" s="30" t="s">
        <v>43</v>
      </c>
      <c r="H6" s="30" t="s">
        <v>41</v>
      </c>
      <c r="I6" s="31">
        <v>7</v>
      </c>
      <c r="J6" s="30" t="s">
        <v>43</v>
      </c>
      <c r="K6" s="31">
        <v>7</v>
      </c>
      <c r="L6" s="17" t="s">
        <v>44</v>
      </c>
      <c r="M6" s="31">
        <v>7</v>
      </c>
      <c r="N6" s="17" t="s">
        <v>45</v>
      </c>
      <c r="O6" s="31">
        <v>2</v>
      </c>
      <c r="P6" s="30" t="s">
        <v>33</v>
      </c>
      <c r="Q6" s="65">
        <v>2</v>
      </c>
      <c r="R6" s="18" t="s">
        <v>34</v>
      </c>
      <c r="S6" s="31">
        <v>2</v>
      </c>
      <c r="T6" s="18" t="s">
        <v>46</v>
      </c>
      <c r="U6" s="31">
        <v>2</v>
      </c>
      <c r="V6" s="30" t="s">
        <v>36</v>
      </c>
      <c r="W6" s="31">
        <v>2</v>
      </c>
      <c r="X6" s="31" t="s">
        <v>25</v>
      </c>
      <c r="Y6" s="31">
        <v>1</v>
      </c>
      <c r="Z6" s="44" t="s">
        <v>37</v>
      </c>
      <c r="AA6" s="66">
        <v>1</v>
      </c>
      <c r="AB6" s="18" t="s">
        <v>38</v>
      </c>
      <c r="AC6" s="65">
        <v>0.5</v>
      </c>
      <c r="AD6" s="18" t="s">
        <v>39</v>
      </c>
      <c r="AE6" s="31">
        <v>1</v>
      </c>
      <c r="AF6" s="31" t="s">
        <v>40</v>
      </c>
      <c r="AG6" s="31">
        <v>0.5</v>
      </c>
      <c r="AH6" s="31">
        <v>35</v>
      </c>
    </row>
    <row r="7" s="2" customFormat="1" ht="30" customHeight="1" spans="1:34">
      <c r="A7" s="10"/>
      <c r="B7" s="10"/>
      <c r="C7" s="10"/>
      <c r="D7" s="63"/>
      <c r="E7" s="64">
        <v>4</v>
      </c>
      <c r="F7" s="30" t="s">
        <v>42</v>
      </c>
      <c r="G7" s="30" t="s">
        <v>41</v>
      </c>
      <c r="H7" s="30" t="s">
        <v>41</v>
      </c>
      <c r="I7" s="31">
        <v>7</v>
      </c>
      <c r="J7" s="30" t="s">
        <v>43</v>
      </c>
      <c r="K7" s="31">
        <v>7</v>
      </c>
      <c r="L7" s="17" t="s">
        <v>44</v>
      </c>
      <c r="M7" s="31">
        <v>7</v>
      </c>
      <c r="N7" s="17" t="s">
        <v>45</v>
      </c>
      <c r="O7" s="31">
        <v>2</v>
      </c>
      <c r="P7" s="30" t="s">
        <v>33</v>
      </c>
      <c r="Q7" s="65">
        <v>2</v>
      </c>
      <c r="R7" s="18" t="s">
        <v>47</v>
      </c>
      <c r="S7" s="31">
        <v>2</v>
      </c>
      <c r="T7" s="18" t="s">
        <v>46</v>
      </c>
      <c r="U7" s="31">
        <v>2</v>
      </c>
      <c r="V7" s="30" t="s">
        <v>36</v>
      </c>
      <c r="W7" s="31">
        <v>2</v>
      </c>
      <c r="X7" s="31" t="s">
        <v>25</v>
      </c>
      <c r="Y7" s="31">
        <v>1</v>
      </c>
      <c r="Z7" s="44" t="s">
        <v>37</v>
      </c>
      <c r="AA7" s="66">
        <v>1</v>
      </c>
      <c r="AB7" s="18" t="s">
        <v>38</v>
      </c>
      <c r="AC7" s="65">
        <v>0.5</v>
      </c>
      <c r="AD7" s="18" t="s">
        <v>39</v>
      </c>
      <c r="AE7" s="31">
        <v>1</v>
      </c>
      <c r="AF7" s="31" t="s">
        <v>40</v>
      </c>
      <c r="AG7" s="31">
        <v>0.5</v>
      </c>
      <c r="AH7" s="31">
        <v>35</v>
      </c>
    </row>
    <row r="8" s="2" customFormat="1" ht="30" customHeight="1" spans="1:34">
      <c r="A8" s="10"/>
      <c r="B8" s="10"/>
      <c r="C8" s="10"/>
      <c r="D8" s="63"/>
      <c r="E8" s="64">
        <v>5</v>
      </c>
      <c r="F8" s="30" t="s">
        <v>42</v>
      </c>
      <c r="G8" s="30" t="s">
        <v>25</v>
      </c>
      <c r="H8" s="30" t="s">
        <v>48</v>
      </c>
      <c r="I8" s="31">
        <v>7</v>
      </c>
      <c r="J8" s="30" t="s">
        <v>43</v>
      </c>
      <c r="K8" s="31">
        <v>7</v>
      </c>
      <c r="L8" s="18" t="s">
        <v>49</v>
      </c>
      <c r="M8" s="31">
        <v>7</v>
      </c>
      <c r="N8" s="17" t="s">
        <v>45</v>
      </c>
      <c r="O8" s="31">
        <v>2</v>
      </c>
      <c r="P8" s="30" t="s">
        <v>33</v>
      </c>
      <c r="Q8" s="65">
        <v>2</v>
      </c>
      <c r="R8" s="18" t="s">
        <v>47</v>
      </c>
      <c r="S8" s="31">
        <v>2</v>
      </c>
      <c r="T8" s="18" t="s">
        <v>46</v>
      </c>
      <c r="U8" s="31">
        <v>2</v>
      </c>
      <c r="V8" s="30" t="s">
        <v>36</v>
      </c>
      <c r="W8" s="31">
        <v>2</v>
      </c>
      <c r="X8" s="31" t="s">
        <v>25</v>
      </c>
      <c r="Y8" s="31">
        <v>1</v>
      </c>
      <c r="Z8" s="44" t="s">
        <v>37</v>
      </c>
      <c r="AA8" s="66">
        <v>1</v>
      </c>
      <c r="AB8" s="18" t="s">
        <v>38</v>
      </c>
      <c r="AC8" s="65">
        <v>0.5</v>
      </c>
      <c r="AD8" s="18" t="s">
        <v>39</v>
      </c>
      <c r="AE8" s="31">
        <v>1</v>
      </c>
      <c r="AF8" s="31" t="s">
        <v>40</v>
      </c>
      <c r="AG8" s="31">
        <v>0.5</v>
      </c>
      <c r="AH8" s="31">
        <v>35</v>
      </c>
    </row>
    <row r="9" s="2" customFormat="1" ht="30" customHeight="1" spans="1:34">
      <c r="A9" s="10"/>
      <c r="B9" s="10"/>
      <c r="C9" s="10"/>
      <c r="D9" s="63"/>
      <c r="E9" s="64">
        <v>6</v>
      </c>
      <c r="F9" s="30" t="s">
        <v>42</v>
      </c>
      <c r="G9" s="30" t="s">
        <v>33</v>
      </c>
      <c r="H9" s="30" t="s">
        <v>48</v>
      </c>
      <c r="I9" s="31">
        <v>7</v>
      </c>
      <c r="J9" s="17" t="s">
        <v>50</v>
      </c>
      <c r="K9" s="31">
        <v>7</v>
      </c>
      <c r="L9" s="18" t="s">
        <v>49</v>
      </c>
      <c r="M9" s="31">
        <v>7</v>
      </c>
      <c r="N9" s="17" t="s">
        <v>45</v>
      </c>
      <c r="O9" s="31">
        <v>2</v>
      </c>
      <c r="P9" s="30" t="s">
        <v>33</v>
      </c>
      <c r="Q9" s="65">
        <v>2</v>
      </c>
      <c r="R9" s="18" t="s">
        <v>47</v>
      </c>
      <c r="S9" s="31">
        <v>2</v>
      </c>
      <c r="T9" s="18" t="s">
        <v>46</v>
      </c>
      <c r="U9" s="31">
        <v>2</v>
      </c>
      <c r="V9" s="30" t="s">
        <v>36</v>
      </c>
      <c r="W9" s="31">
        <v>2</v>
      </c>
      <c r="X9" s="31" t="s">
        <v>25</v>
      </c>
      <c r="Y9" s="31">
        <v>1</v>
      </c>
      <c r="Z9" s="44" t="s">
        <v>37</v>
      </c>
      <c r="AA9" s="66">
        <v>1</v>
      </c>
      <c r="AB9" s="18" t="s">
        <v>38</v>
      </c>
      <c r="AC9" s="65">
        <v>0.5</v>
      </c>
      <c r="AD9" s="18" t="s">
        <v>39</v>
      </c>
      <c r="AE9" s="31">
        <v>1</v>
      </c>
      <c r="AF9" s="31" t="s">
        <v>40</v>
      </c>
      <c r="AG9" s="31">
        <v>0.5</v>
      </c>
      <c r="AH9" s="31">
        <v>35</v>
      </c>
    </row>
    <row r="10" s="2" customFormat="1" ht="30" customHeight="1" spans="1:34">
      <c r="A10" s="10"/>
      <c r="B10" s="10"/>
      <c r="C10" s="10"/>
      <c r="D10" s="63"/>
      <c r="E10" s="64">
        <v>7</v>
      </c>
      <c r="F10" s="30" t="s">
        <v>42</v>
      </c>
      <c r="G10" s="30" t="s">
        <v>50</v>
      </c>
      <c r="H10" s="17" t="s">
        <v>30</v>
      </c>
      <c r="I10" s="31">
        <v>7</v>
      </c>
      <c r="J10" s="17" t="s">
        <v>50</v>
      </c>
      <c r="K10" s="31">
        <v>7</v>
      </c>
      <c r="L10" s="17" t="s">
        <v>51</v>
      </c>
      <c r="M10" s="31">
        <v>7</v>
      </c>
      <c r="N10" s="17" t="s">
        <v>45</v>
      </c>
      <c r="O10" s="31">
        <v>2</v>
      </c>
      <c r="P10" s="30" t="s">
        <v>33</v>
      </c>
      <c r="Q10" s="65">
        <v>2</v>
      </c>
      <c r="R10" s="18" t="s">
        <v>47</v>
      </c>
      <c r="S10" s="31">
        <v>2</v>
      </c>
      <c r="T10" s="18" t="s">
        <v>46</v>
      </c>
      <c r="U10" s="31">
        <v>2</v>
      </c>
      <c r="V10" s="30" t="s">
        <v>36</v>
      </c>
      <c r="W10" s="31">
        <v>2</v>
      </c>
      <c r="X10" s="31" t="s">
        <v>25</v>
      </c>
      <c r="Y10" s="31">
        <v>1</v>
      </c>
      <c r="Z10" s="44" t="s">
        <v>37</v>
      </c>
      <c r="AA10" s="66">
        <v>1</v>
      </c>
      <c r="AB10" s="18" t="s">
        <v>38</v>
      </c>
      <c r="AC10" s="65">
        <v>0.5</v>
      </c>
      <c r="AD10" s="18" t="s">
        <v>39</v>
      </c>
      <c r="AE10" s="31">
        <v>1</v>
      </c>
      <c r="AF10" s="31" t="s">
        <v>40</v>
      </c>
      <c r="AG10" s="31">
        <v>0.5</v>
      </c>
      <c r="AH10" s="31">
        <v>35</v>
      </c>
    </row>
    <row r="11" s="2" customFormat="1" ht="30" customHeight="1" spans="1:34">
      <c r="A11" s="10"/>
      <c r="B11" s="10"/>
      <c r="C11" s="10"/>
      <c r="D11" s="63"/>
      <c r="E11" s="64">
        <v>8</v>
      </c>
      <c r="F11" s="30" t="s">
        <v>42</v>
      </c>
      <c r="G11" s="18" t="s">
        <v>34</v>
      </c>
      <c r="H11" s="17" t="s">
        <v>30</v>
      </c>
      <c r="I11" s="31">
        <v>7</v>
      </c>
      <c r="J11" s="17" t="s">
        <v>50</v>
      </c>
      <c r="K11" s="31">
        <v>7</v>
      </c>
      <c r="L11" s="17" t="s">
        <v>51</v>
      </c>
      <c r="M11" s="31">
        <v>7</v>
      </c>
      <c r="N11" s="17" t="s">
        <v>45</v>
      </c>
      <c r="O11" s="31">
        <v>2</v>
      </c>
      <c r="P11" s="30" t="s">
        <v>33</v>
      </c>
      <c r="Q11" s="65">
        <v>2</v>
      </c>
      <c r="R11" s="18" t="s">
        <v>34</v>
      </c>
      <c r="S11" s="31">
        <v>2</v>
      </c>
      <c r="T11" s="18" t="s">
        <v>46</v>
      </c>
      <c r="U11" s="31">
        <v>2</v>
      </c>
      <c r="V11" s="30" t="s">
        <v>52</v>
      </c>
      <c r="W11" s="31">
        <v>2</v>
      </c>
      <c r="X11" s="31" t="s">
        <v>25</v>
      </c>
      <c r="Y11" s="31">
        <v>1</v>
      </c>
      <c r="Z11" s="44" t="s">
        <v>37</v>
      </c>
      <c r="AA11" s="66">
        <v>1</v>
      </c>
      <c r="AB11" s="18" t="s">
        <v>38</v>
      </c>
      <c r="AC11" s="65">
        <v>0.5</v>
      </c>
      <c r="AD11" s="18" t="s">
        <v>39</v>
      </c>
      <c r="AE11" s="31">
        <v>1</v>
      </c>
      <c r="AF11" s="31" t="s">
        <v>40</v>
      </c>
      <c r="AG11" s="31">
        <v>0.5</v>
      </c>
      <c r="AH11" s="31">
        <v>35</v>
      </c>
    </row>
    <row r="12" s="2" customFormat="1" ht="12.75" spans="1:34">
      <c r="A12" s="27"/>
      <c r="L12" s="5"/>
      <c r="AA12" s="59"/>
      <c r="AC12" s="60"/>
    </row>
    <row r="13" s="2" customFormat="1" ht="12.75" spans="1:34">
      <c r="A13" s="27"/>
      <c r="L13" s="5"/>
      <c r="AA13" s="59"/>
      <c r="AC13" s="60"/>
    </row>
    <row r="14" s="2" customFormat="1" ht="12.75" spans="1:34">
      <c r="A14" s="27"/>
      <c r="L14" s="5"/>
      <c r="AA14" s="59"/>
      <c r="AC14" s="60"/>
    </row>
    <row r="15" s="2" customFormat="1" ht="12.75" spans="1:34">
      <c r="A15" s="27"/>
      <c r="L15" s="5"/>
      <c r="AA15" s="59"/>
      <c r="AC15" s="60"/>
    </row>
    <row r="16" s="2" customFormat="1" ht="12.75" spans="1:34">
      <c r="A16" s="27"/>
      <c r="L16" s="5"/>
      <c r="AA16" s="59"/>
      <c r="AC16" s="60"/>
    </row>
    <row r="17" s="2" customFormat="1" ht="12.75" spans="1:29">
      <c r="A17" s="27"/>
      <c r="L17" s="5"/>
      <c r="AA17" s="59"/>
      <c r="AC17" s="60"/>
    </row>
    <row r="18" s="2" customFormat="1" ht="12.75" spans="1:29">
      <c r="A18" s="27"/>
      <c r="L18" s="5"/>
      <c r="AA18" s="59"/>
      <c r="AC18" s="60"/>
    </row>
  </sheetData>
  <mergeCells count="6">
    <mergeCell ref="A1:AH1"/>
    <mergeCell ref="T2:AH2"/>
    <mergeCell ref="A4:A11"/>
    <mergeCell ref="B4:B11"/>
    <mergeCell ref="C4:C11"/>
    <mergeCell ref="D4:D11"/>
  </mergeCells>
  <printOptions horizontalCentered="1"/>
  <pageMargins left="0.156944444444444" right="0.156944444444444" top="0.472222222222222" bottom="0.393700787401575" header="0.31496062992126" footer="0.31496062992126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workbookViewId="0">
      <pane ySplit="1" topLeftCell="A2" activePane="bottomLeft" state="frozen"/>
      <selection/>
      <selection pane="bottomLeft" activeCell="AE7" sqref="AE7"/>
    </sheetView>
  </sheetViews>
  <sheetFormatPr defaultColWidth="9" defaultRowHeight="14.25"/>
  <cols>
    <col min="1" max="1" width="2.5" style="3" customWidth="1"/>
    <col min="2" max="2" width="2.25" style="1" customWidth="1"/>
    <col min="3" max="3" width="2.75" style="1" customWidth="1"/>
    <col min="4" max="4" width="8.875" style="1" customWidth="1"/>
    <col min="5" max="5" width="3.125" style="1" customWidth="1"/>
    <col min="6" max="7" width="5.375" style="2" customWidth="1"/>
    <col min="8" max="8" width="5" style="2" customWidth="1"/>
    <col min="9" max="9" width="3.125" style="1" customWidth="1"/>
    <col min="10" max="10" width="5.125" style="2" customWidth="1"/>
    <col min="11" max="11" width="2.625" style="1" customWidth="1"/>
    <col min="12" max="12" width="4.875" style="5" customWidth="1"/>
    <col min="13" max="13" width="2.625" style="1" customWidth="1"/>
    <col min="14" max="14" width="5.375" style="2" customWidth="1"/>
    <col min="15" max="15" width="2.625" style="1" customWidth="1"/>
    <col min="16" max="16" width="5" style="2" customWidth="1"/>
    <col min="17" max="17" width="2.625" style="1" customWidth="1"/>
    <col min="18" max="18" width="5.125" style="2" customWidth="1"/>
    <col min="19" max="19" width="2.625" style="1" customWidth="1"/>
    <col min="20" max="20" width="4.5" style="2" customWidth="1"/>
    <col min="21" max="21" width="2.625" style="1" customWidth="1"/>
    <col min="22" max="22" width="5.625" style="2" customWidth="1"/>
    <col min="23" max="23" width="2.625" style="1" customWidth="1"/>
    <col min="24" max="24" width="4.44166666666667" style="1" customWidth="1"/>
    <col min="25" max="25" width="2.625" style="1" customWidth="1"/>
    <col min="26" max="26" width="4.625" style="1" customWidth="1"/>
    <col min="27" max="27" width="2.625" style="59" customWidth="1"/>
    <col min="28" max="28" width="4.89166666666667" style="1" customWidth="1"/>
    <col min="29" max="29" width="3.125" style="60" customWidth="1"/>
    <col min="30" max="30" width="5.35" style="1" customWidth="1"/>
    <col min="31" max="31" width="2.625" style="1" customWidth="1"/>
    <col min="32" max="32" width="4.74166666666667" style="1" customWidth="1"/>
    <col min="33" max="34" width="3.125" style="1" customWidth="1"/>
    <col min="35" max="16384" width="9" style="1"/>
  </cols>
  <sheetData>
    <row r="1" s="2" customFormat="1" ht="47" customHeight="1" spans="1:34">
      <c r="A1" s="29" t="s">
        <v>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="2" customFormat="1" ht="25.5" spans="1:3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 t="s">
        <v>54</v>
      </c>
      <c r="Y2" s="9"/>
      <c r="Z2" s="9"/>
      <c r="AA2" s="9"/>
      <c r="AB2" s="9"/>
      <c r="AC2" s="9"/>
      <c r="AD2" s="9"/>
      <c r="AE2" s="9"/>
      <c r="AF2" s="9"/>
      <c r="AG2" s="9"/>
      <c r="AH2" s="9"/>
    </row>
    <row r="3" s="2" customFormat="1" ht="27" spans="1:34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1" t="s">
        <v>55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10</v>
      </c>
      <c r="L3" s="11" t="s">
        <v>12</v>
      </c>
      <c r="M3" s="11" t="s">
        <v>10</v>
      </c>
      <c r="N3" s="11" t="s">
        <v>13</v>
      </c>
      <c r="O3" s="11" t="s">
        <v>10</v>
      </c>
      <c r="P3" s="11" t="s">
        <v>14</v>
      </c>
      <c r="Q3" s="11" t="s">
        <v>10</v>
      </c>
      <c r="R3" s="11" t="s">
        <v>15</v>
      </c>
      <c r="S3" s="11" t="s">
        <v>10</v>
      </c>
      <c r="T3" s="11" t="s">
        <v>56</v>
      </c>
      <c r="U3" s="11" t="s">
        <v>10</v>
      </c>
      <c r="V3" s="11" t="s">
        <v>57</v>
      </c>
      <c r="W3" s="11" t="s">
        <v>10</v>
      </c>
      <c r="X3" s="11" t="s">
        <v>16</v>
      </c>
      <c r="Y3" s="11" t="s">
        <v>10</v>
      </c>
      <c r="Z3" s="11" t="s">
        <v>17</v>
      </c>
      <c r="AA3" s="11" t="s">
        <v>10</v>
      </c>
      <c r="AB3" s="11" t="s">
        <v>18</v>
      </c>
      <c r="AC3" s="11" t="s">
        <v>10</v>
      </c>
      <c r="AD3" s="10" t="s">
        <v>58</v>
      </c>
      <c r="AE3" s="11" t="s">
        <v>10</v>
      </c>
      <c r="AF3" s="10" t="s">
        <v>59</v>
      </c>
      <c r="AG3" s="11" t="s">
        <v>10</v>
      </c>
      <c r="AH3" s="12" t="s">
        <v>23</v>
      </c>
    </row>
    <row r="4" s="2" customFormat="1" ht="35" customHeight="1" spans="1:34">
      <c r="A4" s="10" t="s">
        <v>60</v>
      </c>
      <c r="B4" s="10" t="s">
        <v>61</v>
      </c>
      <c r="C4" s="10" t="s">
        <v>62</v>
      </c>
      <c r="D4" s="56" t="s">
        <v>63</v>
      </c>
      <c r="E4" s="11">
        <v>1</v>
      </c>
      <c r="F4" s="11" t="s">
        <v>42</v>
      </c>
      <c r="G4" s="57" t="s">
        <v>64</v>
      </c>
      <c r="H4" s="23" t="s">
        <v>64</v>
      </c>
      <c r="I4" s="11">
        <v>6</v>
      </c>
      <c r="J4" s="23" t="s">
        <v>65</v>
      </c>
      <c r="K4" s="11">
        <v>7</v>
      </c>
      <c r="L4" s="23" t="s">
        <v>66</v>
      </c>
      <c r="M4" s="11">
        <v>6</v>
      </c>
      <c r="N4" s="23" t="s">
        <v>67</v>
      </c>
      <c r="O4" s="11">
        <v>2</v>
      </c>
      <c r="P4" s="23" t="s">
        <v>68</v>
      </c>
      <c r="Q4" s="11">
        <v>2</v>
      </c>
      <c r="R4" s="23" t="s">
        <v>69</v>
      </c>
      <c r="S4" s="11">
        <v>2</v>
      </c>
      <c r="T4" s="23" t="s">
        <v>70</v>
      </c>
      <c r="U4" s="35" t="s">
        <v>71</v>
      </c>
      <c r="V4" s="23"/>
      <c r="W4" s="11"/>
      <c r="X4" s="23" t="s">
        <v>72</v>
      </c>
      <c r="Y4" s="11">
        <v>2</v>
      </c>
      <c r="Z4" s="23" t="s">
        <v>73</v>
      </c>
      <c r="AA4" s="11">
        <v>2</v>
      </c>
      <c r="AB4" s="31" t="s">
        <v>74</v>
      </c>
      <c r="AC4" s="11">
        <v>1</v>
      </c>
      <c r="AD4" s="23" t="s">
        <v>37</v>
      </c>
      <c r="AE4" s="11">
        <v>1</v>
      </c>
      <c r="AF4" s="23" t="s">
        <v>75</v>
      </c>
      <c r="AG4" s="11">
        <v>1</v>
      </c>
      <c r="AH4" s="11">
        <f t="shared" ref="AH4:AH11" si="0">AG4+AE4+AC4+AA4+Y4+W4+U4+S4+Q4+O4+M4+K4+I4</f>
        <v>35</v>
      </c>
    </row>
    <row r="5" s="2" customFormat="1" ht="35" customHeight="1" spans="1:34">
      <c r="A5" s="10"/>
      <c r="B5" s="10"/>
      <c r="C5" s="10"/>
      <c r="D5" s="56"/>
      <c r="E5" s="11">
        <v>2</v>
      </c>
      <c r="F5" s="11" t="s">
        <v>42</v>
      </c>
      <c r="G5" s="57" t="s">
        <v>66</v>
      </c>
      <c r="H5" s="23" t="s">
        <v>49</v>
      </c>
      <c r="I5" s="11">
        <v>6</v>
      </c>
      <c r="J5" s="23" t="s">
        <v>76</v>
      </c>
      <c r="K5" s="11">
        <v>7</v>
      </c>
      <c r="L5" s="23" t="s">
        <v>66</v>
      </c>
      <c r="M5" s="11">
        <v>6</v>
      </c>
      <c r="N5" s="23" t="s">
        <v>67</v>
      </c>
      <c r="O5" s="11">
        <v>2</v>
      </c>
      <c r="P5" s="23" t="s">
        <v>68</v>
      </c>
      <c r="Q5" s="11">
        <v>2</v>
      </c>
      <c r="R5" s="23" t="s">
        <v>69</v>
      </c>
      <c r="S5" s="11">
        <v>2</v>
      </c>
      <c r="T5" s="23" t="s">
        <v>70</v>
      </c>
      <c r="U5" s="35" t="s">
        <v>71</v>
      </c>
      <c r="V5" s="23"/>
      <c r="W5" s="11"/>
      <c r="X5" s="23" t="s">
        <v>72</v>
      </c>
      <c r="Y5" s="11">
        <v>2</v>
      </c>
      <c r="Z5" s="23" t="s">
        <v>73</v>
      </c>
      <c r="AA5" s="11">
        <v>2</v>
      </c>
      <c r="AB5" s="31" t="s">
        <v>74</v>
      </c>
      <c r="AC5" s="11">
        <v>1</v>
      </c>
      <c r="AD5" s="23" t="s">
        <v>37</v>
      </c>
      <c r="AE5" s="11">
        <v>1</v>
      </c>
      <c r="AF5" s="23" t="s">
        <v>75</v>
      </c>
      <c r="AG5" s="11">
        <v>1</v>
      </c>
      <c r="AH5" s="11">
        <f t="shared" si="0"/>
        <v>35</v>
      </c>
    </row>
    <row r="6" s="2" customFormat="1" ht="35" customHeight="1" spans="1:34">
      <c r="A6" s="10"/>
      <c r="B6" s="10"/>
      <c r="C6" s="10"/>
      <c r="D6" s="56"/>
      <c r="E6" s="11">
        <v>3</v>
      </c>
      <c r="F6" s="11" t="s">
        <v>42</v>
      </c>
      <c r="G6" s="57" t="s">
        <v>77</v>
      </c>
      <c r="H6" s="23" t="s">
        <v>77</v>
      </c>
      <c r="I6" s="11">
        <v>6</v>
      </c>
      <c r="J6" s="23" t="s">
        <v>78</v>
      </c>
      <c r="K6" s="11">
        <v>7</v>
      </c>
      <c r="L6" s="23" t="s">
        <v>79</v>
      </c>
      <c r="M6" s="11">
        <v>6</v>
      </c>
      <c r="N6" s="23" t="s">
        <v>67</v>
      </c>
      <c r="O6" s="11">
        <v>2</v>
      </c>
      <c r="P6" s="23" t="s">
        <v>68</v>
      </c>
      <c r="Q6" s="11">
        <v>2</v>
      </c>
      <c r="R6" s="23" t="s">
        <v>69</v>
      </c>
      <c r="S6" s="11">
        <v>2</v>
      </c>
      <c r="T6" s="23" t="s">
        <v>70</v>
      </c>
      <c r="U6" s="35" t="s">
        <v>71</v>
      </c>
      <c r="V6" s="23"/>
      <c r="W6" s="11"/>
      <c r="X6" s="23" t="s">
        <v>72</v>
      </c>
      <c r="Y6" s="11">
        <v>2</v>
      </c>
      <c r="Z6" s="23" t="s">
        <v>73</v>
      </c>
      <c r="AA6" s="11">
        <v>2</v>
      </c>
      <c r="AB6" s="31" t="s">
        <v>74</v>
      </c>
      <c r="AC6" s="11">
        <v>1</v>
      </c>
      <c r="AD6" s="23" t="s">
        <v>37</v>
      </c>
      <c r="AE6" s="11">
        <v>1</v>
      </c>
      <c r="AF6" s="23" t="s">
        <v>75</v>
      </c>
      <c r="AG6" s="11">
        <v>1</v>
      </c>
      <c r="AH6" s="11">
        <f t="shared" si="0"/>
        <v>35</v>
      </c>
    </row>
    <row r="7" s="2" customFormat="1" ht="35" customHeight="1" spans="1:34">
      <c r="A7" s="10"/>
      <c r="B7" s="10"/>
      <c r="C7" s="10"/>
      <c r="D7" s="56"/>
      <c r="E7" s="11">
        <v>4</v>
      </c>
      <c r="F7" s="11" t="s">
        <v>42</v>
      </c>
      <c r="G7" s="57" t="s">
        <v>72</v>
      </c>
      <c r="H7" s="23" t="s">
        <v>49</v>
      </c>
      <c r="I7" s="11">
        <v>6</v>
      </c>
      <c r="J7" s="23" t="s">
        <v>76</v>
      </c>
      <c r="K7" s="11">
        <v>7</v>
      </c>
      <c r="L7" s="23" t="s">
        <v>79</v>
      </c>
      <c r="M7" s="11">
        <v>6</v>
      </c>
      <c r="N7" s="23" t="s">
        <v>67</v>
      </c>
      <c r="O7" s="11">
        <v>2</v>
      </c>
      <c r="P7" s="23" t="s">
        <v>68</v>
      </c>
      <c r="Q7" s="11">
        <v>2</v>
      </c>
      <c r="R7" s="23" t="s">
        <v>69</v>
      </c>
      <c r="S7" s="11">
        <v>2</v>
      </c>
      <c r="T7" s="23" t="s">
        <v>70</v>
      </c>
      <c r="U7" s="35" t="s">
        <v>71</v>
      </c>
      <c r="V7" s="23"/>
      <c r="W7" s="11"/>
      <c r="X7" s="23" t="s">
        <v>72</v>
      </c>
      <c r="Y7" s="11">
        <v>2</v>
      </c>
      <c r="Z7" s="23" t="s">
        <v>73</v>
      </c>
      <c r="AA7" s="11">
        <v>2</v>
      </c>
      <c r="AB7" s="31" t="s">
        <v>74</v>
      </c>
      <c r="AC7" s="11">
        <v>1</v>
      </c>
      <c r="AD7" s="23" t="s">
        <v>37</v>
      </c>
      <c r="AE7" s="11">
        <v>1</v>
      </c>
      <c r="AF7" s="23" t="s">
        <v>75</v>
      </c>
      <c r="AG7" s="11">
        <v>1</v>
      </c>
      <c r="AH7" s="11">
        <f t="shared" si="0"/>
        <v>35</v>
      </c>
    </row>
    <row r="8" s="2" customFormat="1" ht="35" customHeight="1" spans="1:34">
      <c r="A8" s="10"/>
      <c r="B8" s="10"/>
      <c r="C8" s="10"/>
      <c r="D8" s="56"/>
      <c r="E8" s="11">
        <v>5</v>
      </c>
      <c r="F8" s="11" t="s">
        <v>42</v>
      </c>
      <c r="G8" s="57" t="s">
        <v>78</v>
      </c>
      <c r="H8" s="23" t="s">
        <v>77</v>
      </c>
      <c r="I8" s="11">
        <v>6</v>
      </c>
      <c r="J8" s="23" t="s">
        <v>78</v>
      </c>
      <c r="K8" s="11">
        <v>7</v>
      </c>
      <c r="L8" s="23" t="s">
        <v>80</v>
      </c>
      <c r="M8" s="11">
        <v>6</v>
      </c>
      <c r="N8" s="23" t="s">
        <v>67</v>
      </c>
      <c r="O8" s="11">
        <v>2</v>
      </c>
      <c r="P8" s="23" t="s">
        <v>68</v>
      </c>
      <c r="Q8" s="11">
        <v>2</v>
      </c>
      <c r="R8" s="23" t="s">
        <v>69</v>
      </c>
      <c r="S8" s="11">
        <v>2</v>
      </c>
      <c r="T8" s="23" t="s">
        <v>81</v>
      </c>
      <c r="U8" s="35" t="s">
        <v>71</v>
      </c>
      <c r="V8" s="23"/>
      <c r="W8" s="11"/>
      <c r="X8" s="23" t="s">
        <v>72</v>
      </c>
      <c r="Y8" s="11">
        <v>2</v>
      </c>
      <c r="Z8" s="23" t="s">
        <v>73</v>
      </c>
      <c r="AA8" s="11">
        <v>2</v>
      </c>
      <c r="AB8" s="31" t="s">
        <v>74</v>
      </c>
      <c r="AC8" s="11">
        <v>1</v>
      </c>
      <c r="AD8" s="23" t="s">
        <v>37</v>
      </c>
      <c r="AE8" s="11">
        <v>1</v>
      </c>
      <c r="AF8" s="23" t="s">
        <v>75</v>
      </c>
      <c r="AG8" s="11">
        <v>1</v>
      </c>
      <c r="AH8" s="11">
        <f t="shared" si="0"/>
        <v>35</v>
      </c>
    </row>
    <row r="9" s="2" customFormat="1" ht="35" customHeight="1" spans="1:34">
      <c r="A9" s="10"/>
      <c r="B9" s="10"/>
      <c r="C9" s="10"/>
      <c r="D9" s="56"/>
      <c r="E9" s="11">
        <v>6</v>
      </c>
      <c r="F9" s="11" t="s">
        <v>42</v>
      </c>
      <c r="G9" s="57" t="s">
        <v>80</v>
      </c>
      <c r="H9" s="23" t="s">
        <v>82</v>
      </c>
      <c r="I9" s="11">
        <v>6</v>
      </c>
      <c r="J9" s="23" t="s">
        <v>83</v>
      </c>
      <c r="K9" s="11">
        <v>7</v>
      </c>
      <c r="L9" s="23" t="s">
        <v>80</v>
      </c>
      <c r="M9" s="11">
        <v>6</v>
      </c>
      <c r="N9" s="23" t="s">
        <v>67</v>
      </c>
      <c r="O9" s="11">
        <v>2</v>
      </c>
      <c r="P9" s="23" t="s">
        <v>68</v>
      </c>
      <c r="Q9" s="11">
        <v>2</v>
      </c>
      <c r="R9" s="23" t="s">
        <v>69</v>
      </c>
      <c r="S9" s="11">
        <v>2</v>
      </c>
      <c r="T9" s="23" t="s">
        <v>81</v>
      </c>
      <c r="U9" s="35" t="s">
        <v>71</v>
      </c>
      <c r="V9" s="23"/>
      <c r="W9" s="11"/>
      <c r="X9" s="23" t="s">
        <v>72</v>
      </c>
      <c r="Y9" s="11">
        <v>2</v>
      </c>
      <c r="Z9" s="23" t="s">
        <v>73</v>
      </c>
      <c r="AA9" s="11">
        <v>2</v>
      </c>
      <c r="AB9" s="31" t="s">
        <v>74</v>
      </c>
      <c r="AC9" s="11">
        <v>1</v>
      </c>
      <c r="AD9" s="23" t="s">
        <v>37</v>
      </c>
      <c r="AE9" s="11">
        <v>1</v>
      </c>
      <c r="AF9" s="23" t="s">
        <v>75</v>
      </c>
      <c r="AG9" s="11">
        <v>1</v>
      </c>
      <c r="AH9" s="11">
        <f t="shared" si="0"/>
        <v>35</v>
      </c>
    </row>
    <row r="10" s="2" customFormat="1" ht="35" customHeight="1" spans="1:34">
      <c r="A10" s="10"/>
      <c r="B10" s="10"/>
      <c r="C10" s="10"/>
      <c r="D10" s="56"/>
      <c r="E10" s="11">
        <v>7</v>
      </c>
      <c r="F10" s="11" t="s">
        <v>42</v>
      </c>
      <c r="G10" s="57" t="s">
        <v>84</v>
      </c>
      <c r="H10" s="23" t="s">
        <v>82</v>
      </c>
      <c r="I10" s="11">
        <v>6</v>
      </c>
      <c r="J10" s="23" t="s">
        <v>83</v>
      </c>
      <c r="K10" s="11">
        <v>7</v>
      </c>
      <c r="L10" s="23" t="s">
        <v>84</v>
      </c>
      <c r="M10" s="11">
        <v>6</v>
      </c>
      <c r="N10" s="23" t="s">
        <v>67</v>
      </c>
      <c r="O10" s="11">
        <v>2</v>
      </c>
      <c r="P10" s="23" t="s">
        <v>68</v>
      </c>
      <c r="Q10" s="11">
        <v>2</v>
      </c>
      <c r="R10" s="23" t="s">
        <v>34</v>
      </c>
      <c r="S10" s="11">
        <v>2</v>
      </c>
      <c r="T10" s="23" t="s">
        <v>81</v>
      </c>
      <c r="U10" s="35" t="s">
        <v>71</v>
      </c>
      <c r="V10" s="23"/>
      <c r="W10" s="11"/>
      <c r="X10" s="23" t="s">
        <v>72</v>
      </c>
      <c r="Y10" s="11">
        <v>2</v>
      </c>
      <c r="Z10" s="23" t="s">
        <v>73</v>
      </c>
      <c r="AA10" s="11">
        <v>2</v>
      </c>
      <c r="AB10" s="31" t="s">
        <v>74</v>
      </c>
      <c r="AC10" s="11">
        <v>1</v>
      </c>
      <c r="AD10" s="23" t="s">
        <v>37</v>
      </c>
      <c r="AE10" s="11">
        <v>1</v>
      </c>
      <c r="AF10" s="23" t="s">
        <v>75</v>
      </c>
      <c r="AG10" s="11">
        <v>1</v>
      </c>
      <c r="AH10" s="11">
        <f t="shared" si="0"/>
        <v>35</v>
      </c>
    </row>
    <row r="11" s="2" customFormat="1" ht="35" customHeight="1" spans="1:34">
      <c r="A11" s="10"/>
      <c r="B11" s="10"/>
      <c r="C11" s="10"/>
      <c r="D11" s="56"/>
      <c r="E11" s="11">
        <v>8</v>
      </c>
      <c r="F11" s="11" t="s">
        <v>28</v>
      </c>
      <c r="G11" s="57" t="s">
        <v>65</v>
      </c>
      <c r="H11" s="23" t="s">
        <v>64</v>
      </c>
      <c r="I11" s="11">
        <v>6</v>
      </c>
      <c r="J11" s="23" t="s">
        <v>65</v>
      </c>
      <c r="K11" s="11">
        <v>7</v>
      </c>
      <c r="L11" s="23" t="s">
        <v>84</v>
      </c>
      <c r="M11" s="11">
        <v>6</v>
      </c>
      <c r="N11" s="23" t="s">
        <v>67</v>
      </c>
      <c r="O11" s="11">
        <v>2</v>
      </c>
      <c r="P11" s="23" t="s">
        <v>68</v>
      </c>
      <c r="Q11" s="11">
        <v>2</v>
      </c>
      <c r="R11" s="23" t="s">
        <v>34</v>
      </c>
      <c r="S11" s="11">
        <v>2</v>
      </c>
      <c r="T11" s="23" t="s">
        <v>81</v>
      </c>
      <c r="U11" s="35" t="s">
        <v>71</v>
      </c>
      <c r="V11" s="23"/>
      <c r="W11" s="11"/>
      <c r="X11" s="23" t="s">
        <v>72</v>
      </c>
      <c r="Y11" s="11">
        <v>2</v>
      </c>
      <c r="Z11" s="23" t="s">
        <v>73</v>
      </c>
      <c r="AA11" s="11">
        <v>2</v>
      </c>
      <c r="AB11" s="31" t="s">
        <v>74</v>
      </c>
      <c r="AC11" s="11">
        <v>1</v>
      </c>
      <c r="AD11" s="23" t="s">
        <v>37</v>
      </c>
      <c r="AE11" s="11">
        <v>1</v>
      </c>
      <c r="AF11" s="23" t="s">
        <v>75</v>
      </c>
      <c r="AG11" s="11">
        <v>1</v>
      </c>
      <c r="AH11" s="11">
        <f t="shared" si="0"/>
        <v>35</v>
      </c>
    </row>
    <row r="12" s="2" customFormat="1" ht="12.75" spans="1:34">
      <c r="A12" s="27"/>
      <c r="L12" s="5"/>
      <c r="AA12" s="59"/>
      <c r="AC12" s="60"/>
    </row>
    <row r="13" s="2" customFormat="1" ht="12.75" spans="1:34">
      <c r="A13" s="27"/>
      <c r="L13" s="5"/>
      <c r="AA13" s="59"/>
      <c r="AC13" s="60"/>
    </row>
    <row r="14" s="2" customFormat="1" ht="12.75" spans="1:34">
      <c r="A14" s="27"/>
      <c r="L14" s="5"/>
      <c r="AA14" s="59"/>
      <c r="AC14" s="60"/>
    </row>
    <row r="15" s="2" customFormat="1" ht="12.75" spans="1:34">
      <c r="A15" s="27"/>
      <c r="L15" s="5"/>
      <c r="AA15" s="59"/>
      <c r="AC15" s="60"/>
    </row>
    <row r="16" s="2" customFormat="1" ht="12.75" spans="1:34">
      <c r="A16" s="27"/>
      <c r="L16" s="5"/>
      <c r="AA16" s="59"/>
      <c r="AC16" s="60"/>
    </row>
    <row r="17" s="2" customFormat="1" ht="12.75" spans="1:29">
      <c r="A17" s="27"/>
      <c r="L17" s="5"/>
      <c r="AA17" s="59"/>
      <c r="AC17" s="60"/>
    </row>
    <row r="18" s="2" customFormat="1" ht="12.75" spans="1:29">
      <c r="A18" s="27"/>
      <c r="L18" s="5"/>
      <c r="AA18" s="59"/>
      <c r="AC18" s="60"/>
    </row>
  </sheetData>
  <mergeCells count="6">
    <mergeCell ref="A1:AH1"/>
    <mergeCell ref="X2:AH2"/>
    <mergeCell ref="A4:A11"/>
    <mergeCell ref="B4:B11"/>
    <mergeCell ref="C4:C11"/>
    <mergeCell ref="D4:D11"/>
  </mergeCells>
  <printOptions horizontalCentered="1"/>
  <pageMargins left="0.156944444444444" right="0.156944444444444" top="0.472222222222222" bottom="0.393700787401575" header="0.31496062992126" footer="0.31496062992126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workbookViewId="0">
      <selection activeCell="AI16" sqref="AI16"/>
    </sheetView>
  </sheetViews>
  <sheetFormatPr defaultColWidth="9" defaultRowHeight="14.25"/>
  <cols>
    <col min="1" max="1" width="2.5" style="3" customWidth="1"/>
    <col min="2" max="2" width="2.25" style="1" customWidth="1"/>
    <col min="3" max="3" width="2.75" style="1" customWidth="1"/>
    <col min="4" max="4" width="10.2416666666667" style="1" customWidth="1"/>
    <col min="5" max="5" width="2.625" style="1" customWidth="1"/>
    <col min="6" max="6" width="5.5" style="1" customWidth="1"/>
    <col min="7" max="7" width="5.375" style="2" customWidth="1"/>
    <col min="8" max="8" width="5" style="2" customWidth="1"/>
    <col min="9" max="9" width="2.25" style="1" customWidth="1"/>
    <col min="10" max="10" width="5.125" style="2" customWidth="1"/>
    <col min="11" max="11" width="2.625" style="1" customWidth="1"/>
    <col min="12" max="12" width="4.875" style="5" customWidth="1"/>
    <col min="13" max="13" width="2.375" style="1" customWidth="1"/>
    <col min="14" max="14" width="5.375" style="2" customWidth="1"/>
    <col min="15" max="15" width="2.125" style="1" customWidth="1"/>
    <col min="16" max="16" width="5" style="2" customWidth="1"/>
    <col min="17" max="17" width="2.125" style="1" customWidth="1"/>
    <col min="18" max="18" width="5.125" style="2" customWidth="1"/>
    <col min="19" max="19" width="2" style="1" customWidth="1"/>
    <col min="20" max="20" width="5.125" style="2" customWidth="1"/>
    <col min="21" max="21" width="2.375" style="1" customWidth="1"/>
    <col min="22" max="22" width="5.75" style="2" customWidth="1"/>
    <col min="23" max="23" width="2.375" style="1" customWidth="1"/>
    <col min="24" max="24" width="4.5" style="2" customWidth="1"/>
    <col min="25" max="25" width="2.375" style="1" customWidth="1"/>
    <col min="26" max="26" width="4.96666666666667" style="2" customWidth="1"/>
    <col min="27" max="27" width="1.625" style="1" customWidth="1"/>
    <col min="28" max="28" width="3.76666666666667" style="1" customWidth="1"/>
    <col min="29" max="29" width="2.25" style="1" customWidth="1"/>
    <col min="30" max="30" width="3.625" style="1" customWidth="1"/>
    <col min="31" max="31" width="2.625" style="1" customWidth="1"/>
    <col min="32" max="32" width="3" style="1" customWidth="1"/>
    <col min="33" max="16384" width="9" style="1"/>
  </cols>
  <sheetData>
    <row r="1" s="1" customFormat="1" ht="23" customHeight="1" spans="1:32">
      <c r="A1" s="29" t="s">
        <v>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="1" customFormat="1" ht="15" customHeight="1" spans="1:3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 t="s">
        <v>54</v>
      </c>
      <c r="Y2" s="9"/>
      <c r="Z2" s="9"/>
      <c r="AA2" s="9"/>
      <c r="AB2" s="9"/>
      <c r="AC2" s="9"/>
      <c r="AD2" s="9"/>
      <c r="AE2" s="9"/>
      <c r="AF2" s="9"/>
    </row>
    <row r="3" s="2" customFormat="1" ht="27" customHeight="1" spans="1:32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1" t="s">
        <v>55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10</v>
      </c>
      <c r="L3" s="11" t="s">
        <v>12</v>
      </c>
      <c r="M3" s="11" t="s">
        <v>10</v>
      </c>
      <c r="N3" s="11" t="s">
        <v>13</v>
      </c>
      <c r="O3" s="11" t="s">
        <v>10</v>
      </c>
      <c r="P3" s="11" t="s">
        <v>14</v>
      </c>
      <c r="Q3" s="11" t="s">
        <v>10</v>
      </c>
      <c r="R3" s="11" t="s">
        <v>15</v>
      </c>
      <c r="S3" s="11" t="s">
        <v>10</v>
      </c>
      <c r="T3" s="11" t="s">
        <v>56</v>
      </c>
      <c r="U3" s="11" t="s">
        <v>10</v>
      </c>
      <c r="V3" s="11" t="s">
        <v>57</v>
      </c>
      <c r="W3" s="11" t="s">
        <v>10</v>
      </c>
      <c r="X3" s="11" t="s">
        <v>16</v>
      </c>
      <c r="Y3" s="11" t="s">
        <v>10</v>
      </c>
      <c r="Z3" s="11" t="s">
        <v>17</v>
      </c>
      <c r="AA3" s="11" t="s">
        <v>10</v>
      </c>
      <c r="AB3" s="11" t="s">
        <v>18</v>
      </c>
      <c r="AC3" s="11" t="s">
        <v>10</v>
      </c>
      <c r="AD3" s="10" t="s">
        <v>86</v>
      </c>
      <c r="AE3" s="11" t="s">
        <v>10</v>
      </c>
      <c r="AF3" s="12" t="s">
        <v>23</v>
      </c>
    </row>
    <row r="4" s="2" customFormat="1" ht="30" customHeight="1" spans="1:32">
      <c r="A4" s="10" t="s">
        <v>87</v>
      </c>
      <c r="B4" s="10" t="s">
        <v>88</v>
      </c>
      <c r="C4" s="10" t="s">
        <v>89</v>
      </c>
      <c r="D4" s="56" t="s">
        <v>90</v>
      </c>
      <c r="E4" s="11">
        <v>1</v>
      </c>
      <c r="F4" s="11" t="s">
        <v>42</v>
      </c>
      <c r="G4" s="57" t="s">
        <v>91</v>
      </c>
      <c r="H4" s="17" t="s">
        <v>92</v>
      </c>
      <c r="I4" s="11">
        <v>6</v>
      </c>
      <c r="J4" s="23" t="s">
        <v>93</v>
      </c>
      <c r="K4" s="11">
        <v>7</v>
      </c>
      <c r="L4" s="23" t="s">
        <v>91</v>
      </c>
      <c r="M4" s="11">
        <v>6</v>
      </c>
      <c r="N4" s="23" t="s">
        <v>32</v>
      </c>
      <c r="O4" s="11">
        <v>3</v>
      </c>
      <c r="P4" s="23" t="s">
        <v>94</v>
      </c>
      <c r="Q4" s="11">
        <v>3</v>
      </c>
      <c r="R4" s="18"/>
      <c r="S4" s="11"/>
      <c r="T4" s="23" t="s">
        <v>95</v>
      </c>
      <c r="U4" s="35" t="s">
        <v>96</v>
      </c>
      <c r="V4" s="23" t="s">
        <v>97</v>
      </c>
      <c r="W4" s="11">
        <v>3</v>
      </c>
      <c r="X4" s="18"/>
      <c r="Y4" s="11"/>
      <c r="Z4" s="23" t="s">
        <v>98</v>
      </c>
      <c r="AA4" s="11">
        <v>2</v>
      </c>
      <c r="AB4" s="31" t="s">
        <v>88</v>
      </c>
      <c r="AC4" s="31">
        <v>1</v>
      </c>
      <c r="AD4" s="18"/>
      <c r="AE4" s="31"/>
      <c r="AF4" s="31">
        <v>35</v>
      </c>
    </row>
    <row r="5" s="2" customFormat="1" ht="30" customHeight="1" spans="1:32">
      <c r="A5" s="10"/>
      <c r="B5" s="10"/>
      <c r="C5" s="10"/>
      <c r="D5" s="56"/>
      <c r="E5" s="11">
        <v>2</v>
      </c>
      <c r="F5" s="11" t="s">
        <v>42</v>
      </c>
      <c r="G5" s="57" t="s">
        <v>99</v>
      </c>
      <c r="H5" s="17" t="s">
        <v>100</v>
      </c>
      <c r="I5" s="11">
        <v>6</v>
      </c>
      <c r="J5" s="23" t="s">
        <v>101</v>
      </c>
      <c r="K5" s="11">
        <v>7</v>
      </c>
      <c r="L5" s="23" t="s">
        <v>102</v>
      </c>
      <c r="M5" s="11">
        <v>6</v>
      </c>
      <c r="N5" s="23" t="s">
        <v>32</v>
      </c>
      <c r="O5" s="11">
        <v>3</v>
      </c>
      <c r="P5" s="23" t="s">
        <v>94</v>
      </c>
      <c r="Q5" s="11">
        <v>3</v>
      </c>
      <c r="R5" s="23"/>
      <c r="S5" s="11"/>
      <c r="T5" s="23" t="s">
        <v>95</v>
      </c>
      <c r="U5" s="35" t="s">
        <v>96</v>
      </c>
      <c r="V5" s="23" t="s">
        <v>97</v>
      </c>
      <c r="W5" s="11">
        <v>3</v>
      </c>
      <c r="X5" s="18"/>
      <c r="Y5" s="11"/>
      <c r="Z5" s="23" t="s">
        <v>98</v>
      </c>
      <c r="AA5" s="11">
        <v>2</v>
      </c>
      <c r="AB5" s="31" t="s">
        <v>88</v>
      </c>
      <c r="AC5" s="31">
        <v>1</v>
      </c>
      <c r="AD5" s="58"/>
      <c r="AE5" s="31"/>
      <c r="AF5" s="31">
        <v>35</v>
      </c>
    </row>
    <row r="6" s="2" customFormat="1" ht="30" customHeight="1" spans="1:32">
      <c r="A6" s="10"/>
      <c r="B6" s="10"/>
      <c r="C6" s="10"/>
      <c r="D6" s="56"/>
      <c r="E6" s="11">
        <v>3</v>
      </c>
      <c r="F6" s="11" t="s">
        <v>42</v>
      </c>
      <c r="G6" s="57" t="s">
        <v>102</v>
      </c>
      <c r="H6" s="17" t="s">
        <v>100</v>
      </c>
      <c r="I6" s="11">
        <v>6</v>
      </c>
      <c r="J6" s="23" t="s">
        <v>93</v>
      </c>
      <c r="K6" s="11">
        <v>7</v>
      </c>
      <c r="L6" s="23" t="s">
        <v>102</v>
      </c>
      <c r="M6" s="11">
        <v>6</v>
      </c>
      <c r="N6" s="23" t="s">
        <v>32</v>
      </c>
      <c r="O6" s="11">
        <v>3</v>
      </c>
      <c r="P6" s="23" t="s">
        <v>94</v>
      </c>
      <c r="Q6" s="11">
        <v>3</v>
      </c>
      <c r="R6" s="18"/>
      <c r="S6" s="11"/>
      <c r="T6" s="23" t="s">
        <v>95</v>
      </c>
      <c r="U6" s="35" t="s">
        <v>96</v>
      </c>
      <c r="V6" s="23" t="s">
        <v>97</v>
      </c>
      <c r="W6" s="11">
        <v>3</v>
      </c>
      <c r="X6" s="18"/>
      <c r="Y6" s="11"/>
      <c r="Z6" s="23" t="s">
        <v>98</v>
      </c>
      <c r="AA6" s="11">
        <v>2</v>
      </c>
      <c r="AB6" s="31" t="s">
        <v>88</v>
      </c>
      <c r="AC6" s="31">
        <v>1</v>
      </c>
      <c r="AD6" s="58"/>
      <c r="AE6" s="31"/>
      <c r="AF6" s="31">
        <v>35</v>
      </c>
    </row>
    <row r="7" s="2" customFormat="1" ht="30" customHeight="1" spans="1:32">
      <c r="A7" s="10"/>
      <c r="B7" s="10"/>
      <c r="C7" s="10"/>
      <c r="D7" s="56"/>
      <c r="E7" s="11">
        <v>4</v>
      </c>
      <c r="F7" s="11" t="s">
        <v>42</v>
      </c>
      <c r="G7" s="57" t="s">
        <v>103</v>
      </c>
      <c r="H7" s="17" t="s">
        <v>104</v>
      </c>
      <c r="I7" s="11">
        <v>6</v>
      </c>
      <c r="J7" s="23" t="s">
        <v>105</v>
      </c>
      <c r="K7" s="11">
        <v>7</v>
      </c>
      <c r="L7" s="23" t="s">
        <v>103</v>
      </c>
      <c r="M7" s="11">
        <v>6</v>
      </c>
      <c r="N7" s="23" t="s">
        <v>106</v>
      </c>
      <c r="O7" s="11">
        <v>3</v>
      </c>
      <c r="P7" s="23" t="s">
        <v>107</v>
      </c>
      <c r="Q7" s="11">
        <v>3</v>
      </c>
      <c r="R7" s="23"/>
      <c r="S7" s="11"/>
      <c r="T7" s="23" t="s">
        <v>108</v>
      </c>
      <c r="U7" s="35" t="s">
        <v>96</v>
      </c>
      <c r="V7" s="23" t="s">
        <v>109</v>
      </c>
      <c r="W7" s="11">
        <v>3</v>
      </c>
      <c r="X7" s="18"/>
      <c r="Y7" s="11"/>
      <c r="Z7" s="23" t="s">
        <v>98</v>
      </c>
      <c r="AA7" s="11">
        <v>2</v>
      </c>
      <c r="AB7" s="31" t="s">
        <v>88</v>
      </c>
      <c r="AC7" s="31">
        <v>1</v>
      </c>
      <c r="AD7" s="58"/>
      <c r="AE7" s="31"/>
      <c r="AF7" s="31">
        <v>35</v>
      </c>
    </row>
    <row r="8" s="2" customFormat="1" ht="30" customHeight="1" spans="1:32">
      <c r="A8" s="10"/>
      <c r="B8" s="10"/>
      <c r="C8" s="10"/>
      <c r="D8" s="56"/>
      <c r="E8" s="11">
        <v>5</v>
      </c>
      <c r="F8" s="11" t="s">
        <v>42</v>
      </c>
      <c r="G8" s="57" t="s">
        <v>105</v>
      </c>
      <c r="H8" s="17" t="s">
        <v>104</v>
      </c>
      <c r="I8" s="11">
        <v>6</v>
      </c>
      <c r="J8" s="23" t="s">
        <v>105</v>
      </c>
      <c r="K8" s="11">
        <v>7</v>
      </c>
      <c r="L8" s="23" t="s">
        <v>103</v>
      </c>
      <c r="M8" s="11">
        <v>6</v>
      </c>
      <c r="N8" s="23" t="s">
        <v>106</v>
      </c>
      <c r="O8" s="11">
        <v>3</v>
      </c>
      <c r="P8" s="23" t="s">
        <v>107</v>
      </c>
      <c r="Q8" s="11">
        <v>3</v>
      </c>
      <c r="R8" s="23"/>
      <c r="S8" s="11"/>
      <c r="T8" s="23" t="s">
        <v>108</v>
      </c>
      <c r="U8" s="35" t="s">
        <v>96</v>
      </c>
      <c r="V8" s="23" t="s">
        <v>109</v>
      </c>
      <c r="W8" s="11">
        <v>3</v>
      </c>
      <c r="X8" s="18"/>
      <c r="Y8" s="35"/>
      <c r="Z8" s="23" t="s">
        <v>98</v>
      </c>
      <c r="AA8" s="11">
        <v>2</v>
      </c>
      <c r="AB8" s="31" t="s">
        <v>88</v>
      </c>
      <c r="AC8" s="31">
        <v>1</v>
      </c>
      <c r="AD8" s="58"/>
      <c r="AE8" s="31"/>
      <c r="AF8" s="31">
        <v>35</v>
      </c>
    </row>
    <row r="9" s="2" customFormat="1" ht="30" customHeight="1" spans="1:32">
      <c r="A9" s="10"/>
      <c r="B9" s="10"/>
      <c r="C9" s="10"/>
      <c r="D9" s="56"/>
      <c r="E9" s="11">
        <v>6</v>
      </c>
      <c r="F9" s="11" t="s">
        <v>42</v>
      </c>
      <c r="G9" s="57" t="s">
        <v>110</v>
      </c>
      <c r="H9" s="17" t="s">
        <v>111</v>
      </c>
      <c r="I9" s="11">
        <v>6</v>
      </c>
      <c r="J9" s="23" t="s">
        <v>112</v>
      </c>
      <c r="K9" s="11">
        <v>7</v>
      </c>
      <c r="L9" s="23" t="s">
        <v>110</v>
      </c>
      <c r="M9" s="11">
        <v>6</v>
      </c>
      <c r="N9" s="23" t="s">
        <v>106</v>
      </c>
      <c r="O9" s="11">
        <v>3</v>
      </c>
      <c r="P9" s="23" t="s">
        <v>107</v>
      </c>
      <c r="Q9" s="11">
        <v>3</v>
      </c>
      <c r="R9" s="23"/>
      <c r="S9" s="11"/>
      <c r="T9" s="23" t="s">
        <v>108</v>
      </c>
      <c r="U9" s="35" t="s">
        <v>96</v>
      </c>
      <c r="V9" s="23" t="s">
        <v>109</v>
      </c>
      <c r="W9" s="11">
        <v>3</v>
      </c>
      <c r="X9" s="18"/>
      <c r="Y9" s="35"/>
      <c r="Z9" s="23" t="s">
        <v>98</v>
      </c>
      <c r="AA9" s="11">
        <v>2</v>
      </c>
      <c r="AB9" s="31" t="s">
        <v>88</v>
      </c>
      <c r="AC9" s="31">
        <v>1</v>
      </c>
      <c r="AD9" s="58"/>
      <c r="AE9" s="31"/>
      <c r="AF9" s="31">
        <v>35</v>
      </c>
    </row>
    <row r="10" s="2" customFormat="1" ht="30" customHeight="1" spans="1:32">
      <c r="A10" s="10"/>
      <c r="B10" s="10"/>
      <c r="C10" s="10"/>
      <c r="D10" s="56"/>
      <c r="E10" s="11">
        <v>7</v>
      </c>
      <c r="F10" s="11" t="s">
        <v>42</v>
      </c>
      <c r="G10" s="57" t="s">
        <v>111</v>
      </c>
      <c r="H10" s="17" t="s">
        <v>111</v>
      </c>
      <c r="I10" s="11">
        <v>6</v>
      </c>
      <c r="J10" s="23" t="s">
        <v>112</v>
      </c>
      <c r="K10" s="11">
        <v>7</v>
      </c>
      <c r="L10" s="23" t="s">
        <v>110</v>
      </c>
      <c r="M10" s="11">
        <v>6</v>
      </c>
      <c r="N10" s="23" t="s">
        <v>106</v>
      </c>
      <c r="O10" s="11">
        <v>3</v>
      </c>
      <c r="P10" s="23" t="s">
        <v>107</v>
      </c>
      <c r="Q10" s="11">
        <v>3</v>
      </c>
      <c r="R10" s="23"/>
      <c r="S10" s="11"/>
      <c r="T10" s="23" t="s">
        <v>108</v>
      </c>
      <c r="U10" s="35" t="s">
        <v>96</v>
      </c>
      <c r="V10" s="23" t="s">
        <v>109</v>
      </c>
      <c r="W10" s="11">
        <v>3</v>
      </c>
      <c r="X10" s="18"/>
      <c r="Y10" s="35"/>
      <c r="Z10" s="23" t="s">
        <v>98</v>
      </c>
      <c r="AA10" s="11">
        <v>2</v>
      </c>
      <c r="AB10" s="31" t="s">
        <v>88</v>
      </c>
      <c r="AC10" s="31">
        <v>1</v>
      </c>
      <c r="AD10" s="58"/>
      <c r="AE10" s="31"/>
      <c r="AF10" s="31">
        <v>35</v>
      </c>
    </row>
    <row r="11" s="2" customFormat="1" ht="30" customHeight="1" spans="1:32">
      <c r="A11" s="10"/>
      <c r="B11" s="10"/>
      <c r="C11" s="10"/>
      <c r="D11" s="56"/>
      <c r="E11" s="11">
        <v>8</v>
      </c>
      <c r="F11" s="11" t="s">
        <v>28</v>
      </c>
      <c r="G11" s="57" t="s">
        <v>32</v>
      </c>
      <c r="H11" s="17" t="s">
        <v>92</v>
      </c>
      <c r="I11" s="11">
        <v>6</v>
      </c>
      <c r="J11" s="23" t="s">
        <v>101</v>
      </c>
      <c r="K11" s="11">
        <v>7</v>
      </c>
      <c r="L11" s="23" t="s">
        <v>91</v>
      </c>
      <c r="M11" s="11">
        <v>6</v>
      </c>
      <c r="N11" s="23" t="s">
        <v>32</v>
      </c>
      <c r="O11" s="11">
        <v>3</v>
      </c>
      <c r="P11" s="23" t="s">
        <v>94</v>
      </c>
      <c r="Q11" s="11">
        <v>3</v>
      </c>
      <c r="R11" s="23"/>
      <c r="S11" s="11"/>
      <c r="T11" s="23" t="s">
        <v>95</v>
      </c>
      <c r="U11" s="35" t="s">
        <v>96</v>
      </c>
      <c r="V11" s="23" t="s">
        <v>97</v>
      </c>
      <c r="W11" s="11">
        <v>3</v>
      </c>
      <c r="X11" s="18"/>
      <c r="Y11" s="35"/>
      <c r="Z11" s="23" t="s">
        <v>98</v>
      </c>
      <c r="AA11" s="11">
        <v>2</v>
      </c>
      <c r="AB11" s="31" t="s">
        <v>88</v>
      </c>
      <c r="AC11" s="31">
        <v>1</v>
      </c>
      <c r="AD11" s="58"/>
      <c r="AE11" s="31"/>
      <c r="AF11" s="31">
        <v>35</v>
      </c>
    </row>
    <row r="12" s="2" customFormat="1" ht="12.75" spans="1:32">
      <c r="A12" s="27"/>
      <c r="L12" s="5"/>
    </row>
    <row r="13" s="2" customFormat="1" ht="12.75" spans="1:32">
      <c r="A13" s="27"/>
      <c r="L13" s="5"/>
    </row>
    <row r="14" s="2" customFormat="1" ht="12.75" spans="1:32">
      <c r="A14" s="27"/>
      <c r="G14" s="37"/>
      <c r="L14" s="5"/>
    </row>
    <row r="15" s="2" customFormat="1" ht="12.75" spans="1:32">
      <c r="A15" s="27"/>
      <c r="L15" s="28"/>
    </row>
    <row r="16" s="2" customFormat="1" ht="12.75" spans="1:32">
      <c r="A16" s="27"/>
      <c r="L16" s="5"/>
    </row>
    <row r="17" s="2" customFormat="1" ht="12.75" spans="1:12">
      <c r="A17" s="27"/>
      <c r="L17" s="5"/>
    </row>
    <row r="18" s="2" customFormat="1" ht="12.75" spans="1:12">
      <c r="A18" s="27"/>
      <c r="L18" s="5"/>
    </row>
    <row r="19" s="2" customFormat="1" ht="12.75" spans="1:12">
      <c r="A19" s="27"/>
      <c r="L19" s="5"/>
    </row>
    <row r="20" s="2" customFormat="1" ht="12.75" spans="1:12">
      <c r="A20" s="27"/>
      <c r="L20" s="5"/>
    </row>
    <row r="21" s="2" customFormat="1" ht="12.75" spans="1:12">
      <c r="A21" s="27"/>
      <c r="L21" s="5"/>
    </row>
    <row r="22" s="2" customFormat="1" ht="12.75" spans="1:12">
      <c r="A22" s="27"/>
      <c r="L22" s="5"/>
    </row>
    <row r="23" s="2" customFormat="1" ht="12.75" spans="1:12">
      <c r="A23" s="27"/>
      <c r="L23" s="5"/>
    </row>
    <row r="24" s="2" customFormat="1" ht="12.75" spans="1:12">
      <c r="A24" s="27"/>
      <c r="L24" s="5"/>
    </row>
    <row r="25" s="2" customFormat="1" ht="12.75" spans="1:12">
      <c r="A25" s="27"/>
      <c r="L25" s="5"/>
    </row>
    <row r="26" s="2" customFormat="1" ht="12.75" spans="1:12">
      <c r="A26" s="27"/>
      <c r="L26" s="5"/>
    </row>
    <row r="27" s="2" customFormat="1" ht="12.75" spans="1:12">
      <c r="A27" s="27"/>
      <c r="L27" s="5"/>
    </row>
    <row r="28" s="2" customFormat="1" ht="12.75" spans="1:12">
      <c r="A28" s="27"/>
      <c r="L28" s="5"/>
    </row>
  </sheetData>
  <mergeCells count="6">
    <mergeCell ref="A1:AF1"/>
    <mergeCell ref="X2:AF2"/>
    <mergeCell ref="A4:A11"/>
    <mergeCell ref="B4:B11"/>
    <mergeCell ref="C4:C11"/>
    <mergeCell ref="D4:D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workbookViewId="0">
      <selection activeCell="AC10" sqref="AC10"/>
    </sheetView>
  </sheetViews>
  <sheetFormatPr defaultColWidth="9" defaultRowHeight="14.25"/>
  <cols>
    <col min="1" max="1" width="2.5" style="3" customWidth="1"/>
    <col min="2" max="2" width="2.25" style="1" customWidth="1"/>
    <col min="3" max="3" width="2.75" style="1" customWidth="1"/>
    <col min="4" max="4" width="9.625" style="1" customWidth="1"/>
    <col min="5" max="5" width="2.625" style="1" customWidth="1"/>
    <col min="6" max="6" width="5.5" style="1" customWidth="1"/>
    <col min="7" max="8" width="5.375" style="2" customWidth="1"/>
    <col min="9" max="9" width="5" style="2" customWidth="1"/>
    <col min="10" max="10" width="2.25" style="1" customWidth="1"/>
    <col min="11" max="11" width="5.125" style="2" customWidth="1"/>
    <col min="12" max="12" width="2.625" style="1" customWidth="1"/>
    <col min="13" max="13" width="4.875" style="5" customWidth="1"/>
    <col min="14" max="14" width="2.375" style="1" customWidth="1"/>
    <col min="15" max="15" width="5.375" style="2" customWidth="1"/>
    <col min="16" max="16" width="2.125" style="1" customWidth="1"/>
    <col min="17" max="17" width="5" style="2" customWidth="1"/>
    <col min="18" max="18" width="2.125" style="1" customWidth="1"/>
    <col min="19" max="19" width="5.125" style="2" customWidth="1"/>
    <col min="20" max="20" width="2" style="1" customWidth="1"/>
    <col min="21" max="21" width="5.125" style="2" customWidth="1"/>
    <col min="22" max="22" width="2.375" style="1" customWidth="1"/>
    <col min="23" max="23" width="5.75" style="2" customWidth="1"/>
    <col min="24" max="24" width="2.375" style="1" customWidth="1"/>
    <col min="25" max="25" width="4.5" style="2" customWidth="1"/>
    <col min="26" max="26" width="2.375" style="1" customWidth="1"/>
    <col min="27" max="27" width="5.625" style="2" customWidth="1"/>
    <col min="28" max="28" width="1.625" style="1" customWidth="1"/>
    <col min="29" max="29" width="4.625" style="1" customWidth="1"/>
    <col min="30" max="30" width="2.78333333333333" style="38" customWidth="1"/>
    <col min="31" max="31" width="4.89166666666667" style="1" customWidth="1"/>
    <col min="32" max="32" width="2.625" style="38" customWidth="1"/>
    <col min="33" max="33" width="4.51666666666667" style="1" customWidth="1"/>
    <col min="34" max="34" width="2.625" style="1" customWidth="1"/>
    <col min="35" max="35" width="3" style="4" customWidth="1"/>
    <col min="36" max="16384" width="9" style="1"/>
  </cols>
  <sheetData>
    <row r="1" s="1" customFormat="1" ht="23" customHeight="1" spans="1:35">
      <c r="A1" s="29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="1" customFormat="1" ht="15" customHeight="1" spans="1: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 t="s">
        <v>1</v>
      </c>
      <c r="Z2" s="9"/>
      <c r="AA2" s="9"/>
      <c r="AB2" s="9"/>
      <c r="AC2" s="9"/>
      <c r="AD2" s="9"/>
      <c r="AE2" s="9"/>
      <c r="AF2" s="9"/>
      <c r="AG2" s="9"/>
      <c r="AH2" s="9"/>
      <c r="AI2" s="9"/>
    </row>
    <row r="3" s="2" customFormat="1" ht="27" customHeight="1" spans="1:35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1" t="s">
        <v>55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10</v>
      </c>
      <c r="M3" s="11" t="s">
        <v>12</v>
      </c>
      <c r="N3" s="11" t="s">
        <v>10</v>
      </c>
      <c r="O3" s="11" t="s">
        <v>13</v>
      </c>
      <c r="P3" s="11" t="s">
        <v>10</v>
      </c>
      <c r="Q3" s="11" t="s">
        <v>14</v>
      </c>
      <c r="R3" s="11" t="s">
        <v>10</v>
      </c>
      <c r="S3" s="11" t="s">
        <v>15</v>
      </c>
      <c r="T3" s="11" t="s">
        <v>10</v>
      </c>
      <c r="U3" s="11" t="s">
        <v>56</v>
      </c>
      <c r="V3" s="11" t="s">
        <v>10</v>
      </c>
      <c r="W3" s="11" t="s">
        <v>57</v>
      </c>
      <c r="X3" s="11" t="s">
        <v>10</v>
      </c>
      <c r="Y3" s="11" t="s">
        <v>16</v>
      </c>
      <c r="Z3" s="11" t="s">
        <v>10</v>
      </c>
      <c r="AA3" s="11" t="s">
        <v>17</v>
      </c>
      <c r="AB3" s="11" t="s">
        <v>10</v>
      </c>
      <c r="AC3" s="11" t="s">
        <v>19</v>
      </c>
      <c r="AD3" s="39" t="s">
        <v>10</v>
      </c>
      <c r="AE3" s="11" t="s">
        <v>20</v>
      </c>
      <c r="AF3" s="40" t="s">
        <v>10</v>
      </c>
      <c r="AG3" s="10" t="s">
        <v>21</v>
      </c>
      <c r="AH3" s="11" t="s">
        <v>10</v>
      </c>
      <c r="AI3" s="12" t="s">
        <v>23</v>
      </c>
    </row>
    <row r="4" s="2" customFormat="1" ht="25" customHeight="1" spans="1:35">
      <c r="A4" s="41" t="s">
        <v>114</v>
      </c>
      <c r="B4" s="41" t="s">
        <v>115</v>
      </c>
      <c r="C4" s="41" t="s">
        <v>116</v>
      </c>
      <c r="D4" s="42" t="s">
        <v>117</v>
      </c>
      <c r="E4" s="11">
        <v>1</v>
      </c>
      <c r="F4" s="10" t="s">
        <v>118</v>
      </c>
      <c r="G4" s="10" t="s">
        <v>28</v>
      </c>
      <c r="H4" s="10" t="s">
        <v>119</v>
      </c>
      <c r="I4" s="30" t="s">
        <v>119</v>
      </c>
      <c r="J4" s="11">
        <v>6</v>
      </c>
      <c r="K4" s="30" t="s">
        <v>120</v>
      </c>
      <c r="L4" s="11">
        <v>7</v>
      </c>
      <c r="M4" s="17" t="s">
        <v>121</v>
      </c>
      <c r="N4" s="11">
        <v>7</v>
      </c>
      <c r="O4" s="43"/>
      <c r="P4" s="11"/>
      <c r="Q4" s="32" t="s">
        <v>122</v>
      </c>
      <c r="R4" s="35" t="s">
        <v>123</v>
      </c>
      <c r="S4" s="18" t="s">
        <v>124</v>
      </c>
      <c r="T4" s="11">
        <v>1</v>
      </c>
      <c r="U4" s="18" t="s">
        <v>125</v>
      </c>
      <c r="V4" s="35" t="s">
        <v>126</v>
      </c>
      <c r="W4" s="18" t="s">
        <v>127</v>
      </c>
      <c r="X4" s="35" t="s">
        <v>96</v>
      </c>
      <c r="Y4" s="18" t="s">
        <v>128</v>
      </c>
      <c r="Z4" s="11">
        <v>4</v>
      </c>
      <c r="AA4" s="30" t="s">
        <v>129</v>
      </c>
      <c r="AB4" s="11">
        <v>2</v>
      </c>
      <c r="AC4" s="44" t="s">
        <v>130</v>
      </c>
      <c r="AD4" s="45">
        <v>0.5</v>
      </c>
      <c r="AE4" s="18" t="s">
        <v>131</v>
      </c>
      <c r="AF4" s="46">
        <v>0.5</v>
      </c>
      <c r="AG4" s="18" t="s">
        <v>132</v>
      </c>
      <c r="AH4" s="11">
        <v>1</v>
      </c>
      <c r="AI4" s="11">
        <f t="shared" ref="AI4:AI16" si="0">AH4+AF4+AD4+AB4+Z4+X4+V4+T4+R4+P4+N4+L4+J4</f>
        <v>40</v>
      </c>
    </row>
    <row r="5" s="2" customFormat="1" ht="25" customHeight="1" spans="1:35">
      <c r="A5" s="47"/>
      <c r="B5" s="47"/>
      <c r="C5" s="47"/>
      <c r="D5" s="48"/>
      <c r="E5" s="11">
        <v>2</v>
      </c>
      <c r="F5" s="10" t="s">
        <v>118</v>
      </c>
      <c r="G5" s="10" t="s">
        <v>28</v>
      </c>
      <c r="H5" s="10" t="s">
        <v>133</v>
      </c>
      <c r="I5" s="30" t="s">
        <v>133</v>
      </c>
      <c r="J5" s="11">
        <v>6</v>
      </c>
      <c r="K5" s="30" t="s">
        <v>134</v>
      </c>
      <c r="L5" s="11">
        <v>7</v>
      </c>
      <c r="M5" s="17" t="s">
        <v>121</v>
      </c>
      <c r="N5" s="11">
        <v>7</v>
      </c>
      <c r="O5" s="18"/>
      <c r="P5" s="11"/>
      <c r="Q5" s="32" t="s">
        <v>122</v>
      </c>
      <c r="R5" s="35" t="s">
        <v>123</v>
      </c>
      <c r="S5" s="23" t="s">
        <v>135</v>
      </c>
      <c r="T5" s="11">
        <v>1</v>
      </c>
      <c r="U5" s="18" t="s">
        <v>125</v>
      </c>
      <c r="V5" s="35" t="s">
        <v>126</v>
      </c>
      <c r="W5" s="18" t="s">
        <v>127</v>
      </c>
      <c r="X5" s="35" t="s">
        <v>96</v>
      </c>
      <c r="Y5" s="18" t="s">
        <v>128</v>
      </c>
      <c r="Z5" s="11">
        <v>4</v>
      </c>
      <c r="AA5" s="30" t="s">
        <v>129</v>
      </c>
      <c r="AB5" s="11">
        <v>2</v>
      </c>
      <c r="AC5" s="44" t="s">
        <v>130</v>
      </c>
      <c r="AD5" s="45">
        <v>0.5</v>
      </c>
      <c r="AE5" s="18" t="s">
        <v>131</v>
      </c>
      <c r="AF5" s="46">
        <v>0.5</v>
      </c>
      <c r="AG5" s="18" t="s">
        <v>132</v>
      </c>
      <c r="AH5" s="11">
        <v>1</v>
      </c>
      <c r="AI5" s="11">
        <f t="shared" si="0"/>
        <v>40</v>
      </c>
    </row>
    <row r="6" s="2" customFormat="1" ht="25" customHeight="1" spans="1:35">
      <c r="A6" s="47"/>
      <c r="B6" s="47"/>
      <c r="C6" s="47"/>
      <c r="D6" s="48"/>
      <c r="E6" s="11">
        <v>3</v>
      </c>
      <c r="F6" s="10" t="s">
        <v>118</v>
      </c>
      <c r="G6" s="10" t="s">
        <v>136</v>
      </c>
      <c r="H6" s="10" t="s">
        <v>120</v>
      </c>
      <c r="I6" s="30" t="s">
        <v>119</v>
      </c>
      <c r="J6" s="11">
        <v>6</v>
      </c>
      <c r="K6" s="30" t="s">
        <v>120</v>
      </c>
      <c r="L6" s="11">
        <v>8</v>
      </c>
      <c r="M6" s="17" t="s">
        <v>137</v>
      </c>
      <c r="N6" s="11">
        <v>7</v>
      </c>
      <c r="O6" s="18"/>
      <c r="P6" s="11"/>
      <c r="Q6" s="32" t="s">
        <v>122</v>
      </c>
      <c r="R6" s="35" t="s">
        <v>123</v>
      </c>
      <c r="S6" s="18" t="s">
        <v>124</v>
      </c>
      <c r="T6" s="11">
        <v>1</v>
      </c>
      <c r="U6" s="18" t="s">
        <v>138</v>
      </c>
      <c r="V6" s="35" t="s">
        <v>139</v>
      </c>
      <c r="W6" s="18" t="s">
        <v>140</v>
      </c>
      <c r="X6" s="35" t="s">
        <v>96</v>
      </c>
      <c r="Y6" s="18" t="s">
        <v>141</v>
      </c>
      <c r="Z6" s="11">
        <v>4</v>
      </c>
      <c r="AA6" s="30" t="s">
        <v>129</v>
      </c>
      <c r="AB6" s="11">
        <v>2</v>
      </c>
      <c r="AC6" s="44" t="s">
        <v>130</v>
      </c>
      <c r="AD6" s="45">
        <v>0.5</v>
      </c>
      <c r="AE6" s="18" t="s">
        <v>131</v>
      </c>
      <c r="AF6" s="46">
        <v>0.5</v>
      </c>
      <c r="AG6" s="18" t="s">
        <v>132</v>
      </c>
      <c r="AH6" s="11">
        <v>1</v>
      </c>
      <c r="AI6" s="11">
        <f t="shared" si="0"/>
        <v>40</v>
      </c>
    </row>
    <row r="7" s="2" customFormat="1" ht="25" customHeight="1" spans="1:35">
      <c r="A7" s="47"/>
      <c r="B7" s="47"/>
      <c r="C7" s="47"/>
      <c r="D7" s="48"/>
      <c r="E7" s="11">
        <v>4</v>
      </c>
      <c r="F7" s="10" t="s">
        <v>118</v>
      </c>
      <c r="G7" s="10" t="s">
        <v>136</v>
      </c>
      <c r="H7" s="10" t="s">
        <v>142</v>
      </c>
      <c r="I7" s="30" t="s">
        <v>133</v>
      </c>
      <c r="J7" s="11">
        <v>6</v>
      </c>
      <c r="K7" s="23" t="s">
        <v>142</v>
      </c>
      <c r="L7" s="11">
        <v>8</v>
      </c>
      <c r="M7" s="24" t="s">
        <v>143</v>
      </c>
      <c r="N7" s="11">
        <v>7</v>
      </c>
      <c r="O7" s="18"/>
      <c r="P7" s="11"/>
      <c r="Q7" s="32" t="s">
        <v>122</v>
      </c>
      <c r="R7" s="35" t="s">
        <v>123</v>
      </c>
      <c r="S7" s="23" t="s">
        <v>135</v>
      </c>
      <c r="T7" s="11">
        <v>1</v>
      </c>
      <c r="U7" s="18" t="s">
        <v>138</v>
      </c>
      <c r="V7" s="35" t="s">
        <v>139</v>
      </c>
      <c r="W7" s="18" t="s">
        <v>127</v>
      </c>
      <c r="X7" s="35" t="s">
        <v>96</v>
      </c>
      <c r="Y7" s="23" t="s">
        <v>144</v>
      </c>
      <c r="Z7" s="11">
        <v>4</v>
      </c>
      <c r="AA7" s="30" t="s">
        <v>129</v>
      </c>
      <c r="AB7" s="11">
        <v>2</v>
      </c>
      <c r="AC7" s="44" t="s">
        <v>130</v>
      </c>
      <c r="AD7" s="45">
        <v>0.5</v>
      </c>
      <c r="AE7" s="18" t="s">
        <v>131</v>
      </c>
      <c r="AF7" s="46">
        <v>0.5</v>
      </c>
      <c r="AG7" s="18" t="s">
        <v>132</v>
      </c>
      <c r="AH7" s="11">
        <v>1</v>
      </c>
      <c r="AI7" s="11">
        <f t="shared" si="0"/>
        <v>40</v>
      </c>
    </row>
    <row r="8" s="2" customFormat="1" ht="25" customHeight="1" spans="1:35">
      <c r="A8" s="47"/>
      <c r="B8" s="47"/>
      <c r="C8" s="47"/>
      <c r="D8" s="48"/>
      <c r="E8" s="11">
        <v>5</v>
      </c>
      <c r="F8" s="10" t="s">
        <v>145</v>
      </c>
      <c r="G8" s="10" t="s">
        <v>136</v>
      </c>
      <c r="H8" s="10" t="s">
        <v>125</v>
      </c>
      <c r="I8" s="17" t="s">
        <v>146</v>
      </c>
      <c r="J8" s="11">
        <v>6</v>
      </c>
      <c r="K8" s="17" t="s">
        <v>147</v>
      </c>
      <c r="L8" s="11">
        <v>8</v>
      </c>
      <c r="M8" s="18" t="s">
        <v>148</v>
      </c>
      <c r="N8" s="11">
        <v>7</v>
      </c>
      <c r="O8" s="18"/>
      <c r="P8" s="11"/>
      <c r="Q8" s="32" t="s">
        <v>122</v>
      </c>
      <c r="R8" s="35" t="s">
        <v>123</v>
      </c>
      <c r="S8" s="18" t="s">
        <v>124</v>
      </c>
      <c r="T8" s="11">
        <v>4</v>
      </c>
      <c r="U8" s="18" t="s">
        <v>125</v>
      </c>
      <c r="V8" s="35" t="s">
        <v>139</v>
      </c>
      <c r="W8" s="18" t="s">
        <v>149</v>
      </c>
      <c r="X8" s="35" t="s">
        <v>96</v>
      </c>
      <c r="Y8" s="18" t="s">
        <v>141</v>
      </c>
      <c r="Z8" s="35" t="s">
        <v>123</v>
      </c>
      <c r="AA8" s="30" t="s">
        <v>129</v>
      </c>
      <c r="AB8" s="11">
        <v>2</v>
      </c>
      <c r="AC8" s="44" t="s">
        <v>130</v>
      </c>
      <c r="AD8" s="45">
        <v>0.5</v>
      </c>
      <c r="AE8" s="18" t="s">
        <v>131</v>
      </c>
      <c r="AF8" s="46">
        <v>0.5</v>
      </c>
      <c r="AG8" s="18" t="s">
        <v>132</v>
      </c>
      <c r="AH8" s="11">
        <v>1</v>
      </c>
      <c r="AI8" s="11">
        <f t="shared" si="0"/>
        <v>40</v>
      </c>
    </row>
    <row r="9" s="2" customFormat="1" ht="25" customHeight="1" spans="1:35">
      <c r="A9" s="47"/>
      <c r="B9" s="47"/>
      <c r="C9" s="47"/>
      <c r="D9" s="48"/>
      <c r="E9" s="11">
        <v>6</v>
      </c>
      <c r="F9" s="10" t="s">
        <v>150</v>
      </c>
      <c r="G9" s="10" t="s">
        <v>136</v>
      </c>
      <c r="H9" s="10" t="s">
        <v>122</v>
      </c>
      <c r="I9" s="30" t="s">
        <v>151</v>
      </c>
      <c r="J9" s="11">
        <v>6</v>
      </c>
      <c r="K9" s="23" t="s">
        <v>152</v>
      </c>
      <c r="L9" s="11">
        <v>8</v>
      </c>
      <c r="M9" s="18" t="s">
        <v>148</v>
      </c>
      <c r="N9" s="11">
        <v>7</v>
      </c>
      <c r="O9" s="18" t="s">
        <v>153</v>
      </c>
      <c r="P9" s="11">
        <v>4</v>
      </c>
      <c r="Q9" s="32" t="s">
        <v>122</v>
      </c>
      <c r="R9" s="35" t="s">
        <v>139</v>
      </c>
      <c r="S9" s="23" t="s">
        <v>135</v>
      </c>
      <c r="T9" s="11">
        <v>4</v>
      </c>
      <c r="U9" s="23"/>
      <c r="V9" s="35"/>
      <c r="W9" s="23" t="s">
        <v>154</v>
      </c>
      <c r="X9" s="35" t="s">
        <v>123</v>
      </c>
      <c r="Y9" s="23" t="s">
        <v>144</v>
      </c>
      <c r="Z9" s="35" t="s">
        <v>123</v>
      </c>
      <c r="AA9" s="30" t="s">
        <v>155</v>
      </c>
      <c r="AB9" s="11">
        <v>2</v>
      </c>
      <c r="AC9" s="44" t="s">
        <v>130</v>
      </c>
      <c r="AD9" s="45">
        <v>0.5</v>
      </c>
      <c r="AE9" s="18" t="s">
        <v>131</v>
      </c>
      <c r="AF9" s="46">
        <v>0.5</v>
      </c>
      <c r="AG9" s="18" t="s">
        <v>132</v>
      </c>
      <c r="AH9" s="11">
        <v>1</v>
      </c>
      <c r="AI9" s="11">
        <f t="shared" si="0"/>
        <v>40</v>
      </c>
    </row>
    <row r="10" s="2" customFormat="1" ht="25" customHeight="1" spans="1:35">
      <c r="A10" s="47"/>
      <c r="B10" s="47"/>
      <c r="C10" s="47"/>
      <c r="D10" s="48"/>
      <c r="E10" s="11">
        <v>7</v>
      </c>
      <c r="F10" s="11" t="s">
        <v>118</v>
      </c>
      <c r="G10" s="10" t="s">
        <v>156</v>
      </c>
      <c r="H10" s="10" t="s">
        <v>140</v>
      </c>
      <c r="I10" s="17" t="s">
        <v>157</v>
      </c>
      <c r="J10" s="11">
        <v>6</v>
      </c>
      <c r="K10" s="17" t="s">
        <v>158</v>
      </c>
      <c r="L10" s="11">
        <v>8</v>
      </c>
      <c r="M10" s="17" t="s">
        <v>137</v>
      </c>
      <c r="N10" s="11">
        <v>7</v>
      </c>
      <c r="O10" s="18"/>
      <c r="P10" s="11"/>
      <c r="Q10" s="18" t="s">
        <v>159</v>
      </c>
      <c r="R10" s="35" t="s">
        <v>123</v>
      </c>
      <c r="S10" s="23" t="s">
        <v>135</v>
      </c>
      <c r="T10" s="11">
        <v>1</v>
      </c>
      <c r="U10" s="23" t="s">
        <v>160</v>
      </c>
      <c r="V10" s="35" t="s">
        <v>139</v>
      </c>
      <c r="W10" s="18" t="s">
        <v>140</v>
      </c>
      <c r="X10" s="35" t="s">
        <v>96</v>
      </c>
      <c r="Y10" s="23" t="s">
        <v>144</v>
      </c>
      <c r="Z10" s="11">
        <v>4</v>
      </c>
      <c r="AA10" s="30" t="s">
        <v>155</v>
      </c>
      <c r="AB10" s="11">
        <v>2</v>
      </c>
      <c r="AC10" s="44" t="s">
        <v>130</v>
      </c>
      <c r="AD10" s="45">
        <v>0.5</v>
      </c>
      <c r="AE10" s="18" t="s">
        <v>131</v>
      </c>
      <c r="AF10" s="46">
        <v>0.5</v>
      </c>
      <c r="AG10" s="18" t="s">
        <v>132</v>
      </c>
      <c r="AH10" s="11">
        <v>1</v>
      </c>
      <c r="AI10" s="11">
        <f t="shared" si="0"/>
        <v>40</v>
      </c>
    </row>
    <row r="11" s="2" customFormat="1" ht="25" customHeight="1" spans="1:35">
      <c r="A11" s="47"/>
      <c r="B11" s="47"/>
      <c r="C11" s="47"/>
      <c r="D11" s="48"/>
      <c r="E11" s="11">
        <v>8</v>
      </c>
      <c r="F11" s="11" t="s">
        <v>118</v>
      </c>
      <c r="G11" s="10" t="s">
        <v>156</v>
      </c>
      <c r="H11" s="10" t="s">
        <v>141</v>
      </c>
      <c r="I11" s="17" t="s">
        <v>146</v>
      </c>
      <c r="J11" s="11">
        <v>6</v>
      </c>
      <c r="K11" s="17" t="s">
        <v>158</v>
      </c>
      <c r="L11" s="11">
        <v>8</v>
      </c>
      <c r="M11" s="24" t="s">
        <v>143</v>
      </c>
      <c r="N11" s="11">
        <v>7</v>
      </c>
      <c r="O11" s="18"/>
      <c r="P11" s="11"/>
      <c r="Q11" s="18" t="s">
        <v>159</v>
      </c>
      <c r="R11" s="35" t="s">
        <v>123</v>
      </c>
      <c r="S11" s="23" t="s">
        <v>135</v>
      </c>
      <c r="T11" s="11">
        <v>1</v>
      </c>
      <c r="U11" s="18" t="s">
        <v>138</v>
      </c>
      <c r="V11" s="35" t="s">
        <v>139</v>
      </c>
      <c r="W11" s="18" t="s">
        <v>140</v>
      </c>
      <c r="X11" s="35" t="s">
        <v>96</v>
      </c>
      <c r="Y11" s="18" t="s">
        <v>141</v>
      </c>
      <c r="Z11" s="11">
        <v>4</v>
      </c>
      <c r="AA11" s="30" t="s">
        <v>155</v>
      </c>
      <c r="AB11" s="11">
        <v>2</v>
      </c>
      <c r="AC11" s="44" t="s">
        <v>130</v>
      </c>
      <c r="AD11" s="45">
        <v>0.5</v>
      </c>
      <c r="AE11" s="18" t="s">
        <v>131</v>
      </c>
      <c r="AF11" s="46">
        <v>0.5</v>
      </c>
      <c r="AG11" s="18" t="s">
        <v>132</v>
      </c>
      <c r="AH11" s="11">
        <v>1</v>
      </c>
      <c r="AI11" s="11">
        <f t="shared" si="0"/>
        <v>40</v>
      </c>
    </row>
    <row r="12" s="2" customFormat="1" ht="25" customHeight="1" spans="1:35">
      <c r="A12" s="47"/>
      <c r="B12" s="47"/>
      <c r="C12" s="47"/>
      <c r="D12" s="48"/>
      <c r="E12" s="11">
        <v>9</v>
      </c>
      <c r="F12" s="11" t="s">
        <v>145</v>
      </c>
      <c r="G12" s="10" t="s">
        <v>156</v>
      </c>
      <c r="H12" s="10" t="s">
        <v>154</v>
      </c>
      <c r="I12" s="17" t="s">
        <v>157</v>
      </c>
      <c r="J12" s="11">
        <v>6</v>
      </c>
      <c r="K12" s="23" t="s">
        <v>142</v>
      </c>
      <c r="L12" s="11">
        <v>8</v>
      </c>
      <c r="M12" s="17" t="s">
        <v>161</v>
      </c>
      <c r="N12" s="11">
        <v>7</v>
      </c>
      <c r="O12" s="18"/>
      <c r="P12" s="11"/>
      <c r="Q12" s="18" t="s">
        <v>159</v>
      </c>
      <c r="R12" s="35" t="s">
        <v>123</v>
      </c>
      <c r="S12" s="23" t="s">
        <v>135</v>
      </c>
      <c r="T12" s="11">
        <v>4</v>
      </c>
      <c r="U12" s="18" t="s">
        <v>138</v>
      </c>
      <c r="V12" s="35" t="s">
        <v>139</v>
      </c>
      <c r="W12" s="23" t="s">
        <v>154</v>
      </c>
      <c r="X12" s="35" t="s">
        <v>96</v>
      </c>
      <c r="Y12" s="23" t="s">
        <v>144</v>
      </c>
      <c r="Z12" s="35" t="s">
        <v>123</v>
      </c>
      <c r="AA12" s="30" t="s">
        <v>155</v>
      </c>
      <c r="AB12" s="11">
        <v>2</v>
      </c>
      <c r="AC12" s="44" t="s">
        <v>130</v>
      </c>
      <c r="AD12" s="45">
        <v>0.5</v>
      </c>
      <c r="AE12" s="18" t="s">
        <v>131</v>
      </c>
      <c r="AF12" s="46">
        <v>0.5</v>
      </c>
      <c r="AG12" s="18" t="s">
        <v>132</v>
      </c>
      <c r="AH12" s="11">
        <v>1</v>
      </c>
      <c r="AI12" s="11">
        <f t="shared" si="0"/>
        <v>40</v>
      </c>
    </row>
    <row r="13" s="2" customFormat="1" ht="25" customHeight="1" spans="1:35">
      <c r="A13" s="47"/>
      <c r="B13" s="47"/>
      <c r="C13" s="47"/>
      <c r="D13" s="48"/>
      <c r="E13" s="11">
        <v>10</v>
      </c>
      <c r="F13" s="11" t="s">
        <v>162</v>
      </c>
      <c r="G13" s="10" t="s">
        <v>163</v>
      </c>
      <c r="H13" s="10" t="s">
        <v>151</v>
      </c>
      <c r="I13" s="30" t="s">
        <v>151</v>
      </c>
      <c r="J13" s="11">
        <v>5</v>
      </c>
      <c r="K13" s="23" t="s">
        <v>152</v>
      </c>
      <c r="L13" s="11">
        <v>6</v>
      </c>
      <c r="M13" s="18" t="s">
        <v>164</v>
      </c>
      <c r="N13" s="11">
        <v>6</v>
      </c>
      <c r="O13" s="18" t="s">
        <v>165</v>
      </c>
      <c r="P13" s="11">
        <v>4</v>
      </c>
      <c r="Q13" s="32" t="s">
        <v>122</v>
      </c>
      <c r="R13" s="35" t="s">
        <v>96</v>
      </c>
      <c r="S13" s="18" t="s">
        <v>124</v>
      </c>
      <c r="T13" s="11">
        <v>4</v>
      </c>
      <c r="U13" s="23"/>
      <c r="V13" s="35"/>
      <c r="W13" s="18" t="s">
        <v>149</v>
      </c>
      <c r="X13" s="35" t="s">
        <v>123</v>
      </c>
      <c r="Y13" s="18" t="s">
        <v>141</v>
      </c>
      <c r="Z13" s="35" t="s">
        <v>123</v>
      </c>
      <c r="AA13" s="30" t="s">
        <v>155</v>
      </c>
      <c r="AB13" s="11">
        <v>2</v>
      </c>
      <c r="AC13" s="44" t="s">
        <v>130</v>
      </c>
      <c r="AD13" s="45">
        <v>0.5</v>
      </c>
      <c r="AE13" s="18" t="s">
        <v>131</v>
      </c>
      <c r="AF13" s="46">
        <v>0.5</v>
      </c>
      <c r="AG13" s="18" t="s">
        <v>132</v>
      </c>
      <c r="AH13" s="11">
        <v>1</v>
      </c>
      <c r="AI13" s="11">
        <f t="shared" si="0"/>
        <v>35</v>
      </c>
    </row>
    <row r="14" s="2" customFormat="1" ht="25" customHeight="1" spans="1:35">
      <c r="A14" s="47"/>
      <c r="B14" s="47"/>
      <c r="C14" s="47"/>
      <c r="D14" s="48"/>
      <c r="E14" s="11">
        <v>11</v>
      </c>
      <c r="F14" s="10" t="s">
        <v>145</v>
      </c>
      <c r="G14" s="10" t="s">
        <v>163</v>
      </c>
      <c r="H14" s="10" t="s">
        <v>147</v>
      </c>
      <c r="I14" s="30" t="s">
        <v>166</v>
      </c>
      <c r="J14" s="11">
        <v>5</v>
      </c>
      <c r="K14" s="17" t="s">
        <v>147</v>
      </c>
      <c r="L14" s="11">
        <v>6</v>
      </c>
      <c r="M14" s="18" t="s">
        <v>164</v>
      </c>
      <c r="N14" s="11">
        <v>6</v>
      </c>
      <c r="O14" s="18"/>
      <c r="P14" s="11"/>
      <c r="Q14" s="18" t="s">
        <v>159</v>
      </c>
      <c r="R14" s="35" t="s">
        <v>123</v>
      </c>
      <c r="S14" s="18" t="s">
        <v>124</v>
      </c>
      <c r="T14" s="11">
        <v>4</v>
      </c>
      <c r="U14" s="23" t="s">
        <v>160</v>
      </c>
      <c r="V14" s="35" t="s">
        <v>96</v>
      </c>
      <c r="W14" s="23" t="s">
        <v>154</v>
      </c>
      <c r="X14" s="35" t="s">
        <v>96</v>
      </c>
      <c r="Y14" s="23" t="s">
        <v>144</v>
      </c>
      <c r="Z14" s="35" t="s">
        <v>123</v>
      </c>
      <c r="AA14" s="30" t="s">
        <v>155</v>
      </c>
      <c r="AB14" s="11">
        <v>2</v>
      </c>
      <c r="AC14" s="44" t="s">
        <v>130</v>
      </c>
      <c r="AD14" s="45">
        <v>0.5</v>
      </c>
      <c r="AE14" s="18" t="s">
        <v>131</v>
      </c>
      <c r="AF14" s="46">
        <v>0.5</v>
      </c>
      <c r="AG14" s="18" t="s">
        <v>132</v>
      </c>
      <c r="AH14" s="11">
        <v>1</v>
      </c>
      <c r="AI14" s="11">
        <f t="shared" si="0"/>
        <v>35</v>
      </c>
    </row>
    <row r="15" s="2" customFormat="1" ht="25" customHeight="1" spans="1:35">
      <c r="A15" s="47"/>
      <c r="B15" s="47"/>
      <c r="C15" s="47"/>
      <c r="D15" s="48"/>
      <c r="E15" s="11">
        <v>12</v>
      </c>
      <c r="F15" s="10" t="s">
        <v>118</v>
      </c>
      <c r="G15" s="10" t="s">
        <v>163</v>
      </c>
      <c r="H15" s="10" t="s">
        <v>134</v>
      </c>
      <c r="I15" s="49" t="s">
        <v>167</v>
      </c>
      <c r="J15" s="11">
        <v>5</v>
      </c>
      <c r="K15" s="30" t="s">
        <v>134</v>
      </c>
      <c r="L15" s="11">
        <v>6</v>
      </c>
      <c r="M15" s="17" t="s">
        <v>161</v>
      </c>
      <c r="N15" s="11">
        <v>6</v>
      </c>
      <c r="O15" s="18"/>
      <c r="P15" s="11"/>
      <c r="Q15" s="18" t="s">
        <v>159</v>
      </c>
      <c r="R15" s="35" t="s">
        <v>123</v>
      </c>
      <c r="S15" s="23" t="s">
        <v>135</v>
      </c>
      <c r="T15" s="11">
        <v>1</v>
      </c>
      <c r="U15" s="23" t="s">
        <v>160</v>
      </c>
      <c r="V15" s="35" t="s">
        <v>96</v>
      </c>
      <c r="W15" s="18" t="s">
        <v>149</v>
      </c>
      <c r="X15" s="35" t="s">
        <v>96</v>
      </c>
      <c r="Y15" s="18" t="s">
        <v>141</v>
      </c>
      <c r="Z15" s="11">
        <v>4</v>
      </c>
      <c r="AA15" s="30" t="s">
        <v>155</v>
      </c>
      <c r="AB15" s="11">
        <v>2</v>
      </c>
      <c r="AC15" s="44" t="s">
        <v>130</v>
      </c>
      <c r="AD15" s="45">
        <v>0.5</v>
      </c>
      <c r="AE15" s="18" t="s">
        <v>131</v>
      </c>
      <c r="AF15" s="46">
        <v>0.5</v>
      </c>
      <c r="AG15" s="18" t="s">
        <v>132</v>
      </c>
      <c r="AH15" s="11">
        <v>1</v>
      </c>
      <c r="AI15" s="11">
        <f t="shared" si="0"/>
        <v>35</v>
      </c>
    </row>
    <row r="16" s="2" customFormat="1" ht="25" customHeight="1" spans="1:35">
      <c r="A16" s="47"/>
      <c r="B16" s="47"/>
      <c r="C16" s="47"/>
      <c r="D16" s="48"/>
      <c r="E16" s="11">
        <v>13</v>
      </c>
      <c r="F16" s="11" t="s">
        <v>168</v>
      </c>
      <c r="G16" s="10" t="s">
        <v>163</v>
      </c>
      <c r="H16" s="10" t="s">
        <v>155</v>
      </c>
      <c r="I16" s="18" t="s">
        <v>115</v>
      </c>
      <c r="J16" s="11">
        <v>5</v>
      </c>
      <c r="K16" s="30" t="s">
        <v>134</v>
      </c>
      <c r="L16" s="11">
        <v>6</v>
      </c>
      <c r="M16" s="18" t="s">
        <v>169</v>
      </c>
      <c r="N16" s="11">
        <v>6</v>
      </c>
      <c r="O16" s="18" t="s">
        <v>165</v>
      </c>
      <c r="P16" s="11">
        <v>4</v>
      </c>
      <c r="Q16" s="32" t="s">
        <v>122</v>
      </c>
      <c r="R16" s="35" t="s">
        <v>96</v>
      </c>
      <c r="S16" s="23" t="s">
        <v>135</v>
      </c>
      <c r="T16" s="11">
        <v>1</v>
      </c>
      <c r="U16" s="23"/>
      <c r="V16" s="35"/>
      <c r="W16" s="18" t="s">
        <v>149</v>
      </c>
      <c r="X16" s="35" t="s">
        <v>123</v>
      </c>
      <c r="Y16" s="23" t="s">
        <v>144</v>
      </c>
      <c r="Z16" s="11">
        <v>4</v>
      </c>
      <c r="AA16" s="30" t="s">
        <v>155</v>
      </c>
      <c r="AB16" s="11">
        <v>2</v>
      </c>
      <c r="AC16" s="44" t="s">
        <v>130</v>
      </c>
      <c r="AD16" s="45">
        <v>0.5</v>
      </c>
      <c r="AE16" s="18" t="s">
        <v>131</v>
      </c>
      <c r="AF16" s="46">
        <v>0.5</v>
      </c>
      <c r="AG16" s="18" t="s">
        <v>132</v>
      </c>
      <c r="AH16" s="11">
        <v>1</v>
      </c>
      <c r="AI16" s="11">
        <f t="shared" si="0"/>
        <v>35</v>
      </c>
    </row>
    <row r="17" s="2" customFormat="1" ht="25" customHeight="1" spans="1:35">
      <c r="A17" s="50"/>
      <c r="B17" s="50"/>
      <c r="C17" s="50"/>
      <c r="D17" s="51"/>
      <c r="E17" s="52" t="s">
        <v>170</v>
      </c>
      <c r="F17" s="53"/>
      <c r="G17" s="54"/>
      <c r="H17" s="43"/>
      <c r="I17" s="43"/>
      <c r="J17" s="43"/>
      <c r="K17" s="43"/>
      <c r="L17" s="43"/>
      <c r="M17" s="16"/>
      <c r="N17" s="43"/>
      <c r="O17" s="18" t="s">
        <v>153</v>
      </c>
      <c r="P17" s="16">
        <v>4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55"/>
      <c r="AE17" s="43"/>
      <c r="AF17" s="55"/>
      <c r="AG17" s="43"/>
      <c r="AH17" s="43"/>
      <c r="AI17" s="16"/>
    </row>
    <row r="18" s="2" customFormat="1" ht="15" customHeight="1" spans="1:35">
      <c r="A18" s="27"/>
      <c r="K18" s="37"/>
      <c r="M18" s="5"/>
      <c r="AD18" s="38"/>
      <c r="AF18" s="38"/>
      <c r="AI18" s="5"/>
    </row>
    <row r="19" s="2" customFormat="1" ht="12.75" spans="1:35">
      <c r="A19" s="27"/>
      <c r="K19" s="37"/>
      <c r="M19" s="5"/>
      <c r="AD19" s="38"/>
      <c r="AF19" s="38"/>
      <c r="AI19" s="5"/>
    </row>
    <row r="20" s="2" customFormat="1" ht="12.75" spans="1:35">
      <c r="A20" s="27"/>
      <c r="M20" s="5"/>
      <c r="AD20" s="38"/>
      <c r="AF20" s="38"/>
      <c r="AI20" s="5"/>
    </row>
    <row r="21" s="2" customFormat="1" ht="12.75" spans="1:35">
      <c r="A21" s="27"/>
      <c r="G21" s="37"/>
      <c r="H21" s="37"/>
      <c r="M21" s="5"/>
      <c r="AD21" s="38"/>
      <c r="AF21" s="38"/>
      <c r="AI21" s="5"/>
    </row>
    <row r="22" s="2" customFormat="1" ht="12.75" spans="1:35">
      <c r="A22" s="27"/>
      <c r="M22" s="28"/>
      <c r="AD22" s="38"/>
      <c r="AF22" s="38"/>
      <c r="AI22" s="5"/>
    </row>
    <row r="23" s="2" customFormat="1" ht="12.75" spans="1:35">
      <c r="A23" s="27"/>
      <c r="M23" s="5"/>
      <c r="AD23" s="38"/>
      <c r="AF23" s="38"/>
      <c r="AI23" s="5"/>
    </row>
    <row r="24" s="2" customFormat="1" ht="12.75" spans="1:35">
      <c r="A24" s="27"/>
      <c r="M24" s="5"/>
      <c r="AD24" s="38"/>
      <c r="AF24" s="38"/>
      <c r="AI24" s="5"/>
    </row>
    <row r="25" s="2" customFormat="1" ht="12.75" spans="1:35">
      <c r="A25" s="27"/>
      <c r="M25" s="5"/>
      <c r="AD25" s="38"/>
      <c r="AF25" s="38"/>
      <c r="AI25" s="5"/>
    </row>
    <row r="26" s="2" customFormat="1" ht="12.75" spans="1:35">
      <c r="A26" s="27"/>
      <c r="M26" s="5"/>
      <c r="AD26" s="38"/>
      <c r="AF26" s="38"/>
      <c r="AI26" s="5"/>
    </row>
    <row r="27" s="2" customFormat="1" ht="12.75" spans="1:35">
      <c r="A27" s="27"/>
      <c r="M27" s="5"/>
      <c r="AD27" s="38"/>
      <c r="AF27" s="38"/>
      <c r="AI27" s="5"/>
    </row>
    <row r="28" s="2" customFormat="1" ht="12.75" spans="1:35">
      <c r="A28" s="27"/>
      <c r="M28" s="5"/>
      <c r="AD28" s="38"/>
      <c r="AF28" s="38"/>
      <c r="AI28" s="5"/>
    </row>
    <row r="29" s="2" customFormat="1" ht="12.75" spans="1:35">
      <c r="A29" s="27"/>
      <c r="M29" s="5"/>
      <c r="AD29" s="38"/>
      <c r="AF29" s="38"/>
      <c r="AI29" s="5"/>
    </row>
    <row r="30" s="2" customFormat="1" ht="12.75" spans="1:35">
      <c r="A30" s="27"/>
      <c r="M30" s="5"/>
      <c r="AD30" s="38"/>
      <c r="AF30" s="38"/>
      <c r="AI30" s="5"/>
    </row>
    <row r="31" s="2" customFormat="1" ht="12.75" spans="1:35">
      <c r="A31" s="27"/>
      <c r="M31" s="5"/>
      <c r="AD31" s="38"/>
      <c r="AF31" s="38"/>
      <c r="AI31" s="5"/>
    </row>
    <row r="32" s="2" customFormat="1" ht="12.75" spans="1:35">
      <c r="A32" s="27"/>
      <c r="M32" s="5"/>
      <c r="AD32" s="38"/>
      <c r="AF32" s="38"/>
      <c r="AI32" s="5"/>
    </row>
    <row r="33" s="2" customFormat="1" ht="12.75" spans="1:35">
      <c r="A33" s="27"/>
      <c r="M33" s="5"/>
      <c r="AD33" s="38"/>
      <c r="AF33" s="38"/>
      <c r="AI33" s="5"/>
    </row>
    <row r="34" s="2" customFormat="1" ht="12.75" spans="1:35">
      <c r="A34" s="27"/>
      <c r="M34" s="5"/>
      <c r="AD34" s="38"/>
      <c r="AF34" s="38"/>
      <c r="AI34" s="5"/>
    </row>
    <row r="35" s="2" customFormat="1" ht="12.75" spans="1:35">
      <c r="A35" s="27"/>
      <c r="M35" s="5"/>
      <c r="AD35" s="38"/>
      <c r="AF35" s="38"/>
      <c r="AI35" s="5"/>
    </row>
  </sheetData>
  <mergeCells count="7">
    <mergeCell ref="A1:AI1"/>
    <mergeCell ref="Y2:AI2"/>
    <mergeCell ref="E17:G17"/>
    <mergeCell ref="A4:A17"/>
    <mergeCell ref="B4:B17"/>
    <mergeCell ref="C4:C17"/>
    <mergeCell ref="D4:D17"/>
  </mergeCells>
  <pageMargins left="0.236111111111111" right="0.0784722222222222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4"/>
  <sheetViews>
    <sheetView tabSelected="1" workbookViewId="0">
      <selection activeCell="AG11" sqref="AG11"/>
    </sheetView>
  </sheetViews>
  <sheetFormatPr defaultColWidth="9" defaultRowHeight="14.25"/>
  <cols>
    <col min="1" max="1" width="2.5" style="3" customWidth="1"/>
    <col min="2" max="2" width="3.00833333333333" style="1" customWidth="1"/>
    <col min="3" max="3" width="3.08333333333333" style="1" customWidth="1"/>
    <col min="4" max="4" width="8.88333333333333" style="1" customWidth="1"/>
    <col min="5" max="5" width="2.625" style="1" customWidth="1"/>
    <col min="6" max="6" width="4.43333333333333" style="1" customWidth="1"/>
    <col min="7" max="7" width="5.5" style="1" customWidth="1"/>
    <col min="8" max="8" width="5.375" style="2" customWidth="1"/>
    <col min="9" max="9" width="5" style="2" customWidth="1"/>
    <col min="10" max="10" width="3.125" style="1" customWidth="1"/>
    <col min="11" max="11" width="5.125" style="2" customWidth="1"/>
    <col min="12" max="12" width="3.125" style="1" customWidth="1"/>
    <col min="13" max="13" width="4.875" style="5" customWidth="1"/>
    <col min="14" max="14" width="3.125" style="1" customWidth="1"/>
    <col min="15" max="15" width="5.375" style="2" customWidth="1"/>
    <col min="16" max="16" width="3.125" style="1" customWidth="1"/>
    <col min="17" max="17" width="5" style="2" customWidth="1"/>
    <col min="18" max="18" width="2.625" style="1" customWidth="1"/>
    <col min="19" max="19" width="5.125" style="2" customWidth="1"/>
    <col min="20" max="20" width="3.125" style="1" customWidth="1"/>
    <col min="21" max="21" width="5.125" style="2" customWidth="1"/>
    <col min="22" max="22" width="3.125" style="1" customWidth="1"/>
    <col min="23" max="23" width="5.75" style="2" customWidth="1"/>
    <col min="24" max="24" width="3.125" style="1" customWidth="1"/>
    <col min="25" max="25" width="4.5" style="2" customWidth="1"/>
    <col min="26" max="26" width="3.125" style="1" customWidth="1"/>
    <col min="27" max="27" width="4.96666666666667" style="2" customWidth="1"/>
    <col min="28" max="28" width="3.125" style="1" customWidth="1"/>
    <col min="29" max="29" width="3.625" style="1" customWidth="1"/>
    <col min="30" max="31" width="3.125" style="1" customWidth="1"/>
    <col min="32" max="16384" width="9" style="1"/>
  </cols>
  <sheetData>
    <row r="1" s="1" customFormat="1" ht="23" customHeight="1" spans="1:31">
      <c r="A1" s="29" t="s">
        <v>171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="1" customFormat="1" ht="15" customHeight="1" spans="1:3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 t="s">
        <v>54</v>
      </c>
      <c r="Z2" s="9"/>
      <c r="AA2" s="9"/>
      <c r="AB2" s="9"/>
      <c r="AC2" s="9"/>
      <c r="AD2" s="9"/>
      <c r="AE2" s="9"/>
    </row>
    <row r="3" s="2" customFormat="1" ht="27" customHeight="1" spans="1:31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1" t="s">
        <v>55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10</v>
      </c>
      <c r="M3" s="11" t="s">
        <v>12</v>
      </c>
      <c r="N3" s="11" t="s">
        <v>10</v>
      </c>
      <c r="O3" s="11" t="s">
        <v>13</v>
      </c>
      <c r="P3" s="11" t="s">
        <v>10</v>
      </c>
      <c r="Q3" s="11" t="s">
        <v>14</v>
      </c>
      <c r="R3" s="11" t="s">
        <v>10</v>
      </c>
      <c r="S3" s="11" t="s">
        <v>15</v>
      </c>
      <c r="T3" s="11" t="s">
        <v>10</v>
      </c>
      <c r="U3" s="11" t="s">
        <v>56</v>
      </c>
      <c r="V3" s="11" t="s">
        <v>10</v>
      </c>
      <c r="W3" s="11" t="s">
        <v>57</v>
      </c>
      <c r="X3" s="11" t="s">
        <v>10</v>
      </c>
      <c r="Y3" s="11" t="s">
        <v>16</v>
      </c>
      <c r="Z3" s="11" t="s">
        <v>10</v>
      </c>
      <c r="AA3" s="11" t="s">
        <v>17</v>
      </c>
      <c r="AB3" s="11" t="s">
        <v>10</v>
      </c>
      <c r="AC3" s="10" t="s">
        <v>86</v>
      </c>
      <c r="AD3" s="11" t="s">
        <v>10</v>
      </c>
      <c r="AE3" s="12" t="s">
        <v>23</v>
      </c>
    </row>
    <row r="4" s="2" customFormat="1" ht="25" customHeight="1" spans="1:31">
      <c r="A4" s="30" t="s">
        <v>172</v>
      </c>
      <c r="B4" s="30" t="s">
        <v>173</v>
      </c>
      <c r="C4" s="30" t="s">
        <v>174</v>
      </c>
      <c r="D4" s="30" t="s">
        <v>175</v>
      </c>
      <c r="E4" s="31">
        <v>1</v>
      </c>
      <c r="F4" s="31" t="s">
        <v>28</v>
      </c>
      <c r="G4" s="31" t="s">
        <v>118</v>
      </c>
      <c r="H4" s="30" t="s">
        <v>176</v>
      </c>
      <c r="I4" s="17" t="s">
        <v>177</v>
      </c>
      <c r="J4" s="31">
        <v>7</v>
      </c>
      <c r="K4" s="17" t="s">
        <v>176</v>
      </c>
      <c r="L4" s="31">
        <v>8</v>
      </c>
      <c r="M4" s="17" t="s">
        <v>178</v>
      </c>
      <c r="N4" s="31">
        <v>7</v>
      </c>
      <c r="O4" s="17" t="s">
        <v>179</v>
      </c>
      <c r="P4" s="31">
        <v>1</v>
      </c>
      <c r="Q4" s="32"/>
      <c r="R4" s="33"/>
      <c r="S4" s="18"/>
      <c r="T4" s="31"/>
      <c r="U4" s="18" t="s">
        <v>180</v>
      </c>
      <c r="V4" s="34">
        <v>6</v>
      </c>
      <c r="W4" s="18" t="s">
        <v>181</v>
      </c>
      <c r="X4" s="34">
        <v>4</v>
      </c>
      <c r="Y4" s="18" t="s">
        <v>182</v>
      </c>
      <c r="Z4" s="11">
        <v>4</v>
      </c>
      <c r="AA4" s="18" t="s">
        <v>183</v>
      </c>
      <c r="AB4" s="11">
        <v>2</v>
      </c>
      <c r="AC4" s="18" t="s">
        <v>132</v>
      </c>
      <c r="AD4" s="11">
        <v>1</v>
      </c>
      <c r="AE4" s="11">
        <f t="shared" ref="AE4:AE11" si="0">AD4+AB4+Z4+X4+V4+T4+R4+P4+N4+L4+J4</f>
        <v>40</v>
      </c>
    </row>
    <row r="5" s="2" customFormat="1" ht="25" customHeight="1" spans="1:31">
      <c r="A5" s="30"/>
      <c r="B5" s="30"/>
      <c r="C5" s="30"/>
      <c r="D5" s="30"/>
      <c r="E5" s="31">
        <v>2</v>
      </c>
      <c r="F5" s="31" t="s">
        <v>28</v>
      </c>
      <c r="G5" s="31" t="s">
        <v>118</v>
      </c>
      <c r="H5" s="30" t="s">
        <v>177</v>
      </c>
      <c r="I5" s="17" t="s">
        <v>177</v>
      </c>
      <c r="J5" s="31">
        <v>7</v>
      </c>
      <c r="K5" s="17" t="s">
        <v>176</v>
      </c>
      <c r="L5" s="31">
        <v>8</v>
      </c>
      <c r="M5" s="17" t="s">
        <v>178</v>
      </c>
      <c r="N5" s="31">
        <v>7</v>
      </c>
      <c r="O5" s="17" t="s">
        <v>179</v>
      </c>
      <c r="P5" s="31">
        <v>1</v>
      </c>
      <c r="Q5" s="32"/>
      <c r="R5" s="33"/>
      <c r="S5" s="23"/>
      <c r="T5" s="31"/>
      <c r="U5" s="18" t="s">
        <v>180</v>
      </c>
      <c r="V5" s="34">
        <v>6</v>
      </c>
      <c r="W5" s="18" t="s">
        <v>181</v>
      </c>
      <c r="X5" s="34">
        <v>4</v>
      </c>
      <c r="Y5" s="18" t="s">
        <v>182</v>
      </c>
      <c r="Z5" s="11">
        <v>4</v>
      </c>
      <c r="AA5" s="18" t="s">
        <v>183</v>
      </c>
      <c r="AB5" s="11">
        <v>2</v>
      </c>
      <c r="AC5" s="18" t="s">
        <v>132</v>
      </c>
      <c r="AD5" s="11">
        <v>1</v>
      </c>
      <c r="AE5" s="11">
        <f t="shared" si="0"/>
        <v>40</v>
      </c>
    </row>
    <row r="6" s="2" customFormat="1" ht="25" customHeight="1" spans="1:31">
      <c r="A6" s="30"/>
      <c r="B6" s="30"/>
      <c r="C6" s="30"/>
      <c r="D6" s="30"/>
      <c r="E6" s="31">
        <v>3</v>
      </c>
      <c r="F6" s="31" t="s">
        <v>156</v>
      </c>
      <c r="G6" s="31" t="s">
        <v>118</v>
      </c>
      <c r="H6" s="30" t="s">
        <v>182</v>
      </c>
      <c r="I6" s="32" t="s">
        <v>184</v>
      </c>
      <c r="J6" s="31">
        <v>7</v>
      </c>
      <c r="K6" s="17" t="s">
        <v>173</v>
      </c>
      <c r="L6" s="31">
        <v>8</v>
      </c>
      <c r="M6" s="17" t="s">
        <v>185</v>
      </c>
      <c r="N6" s="31">
        <v>7</v>
      </c>
      <c r="O6" s="17" t="s">
        <v>179</v>
      </c>
      <c r="P6" s="31">
        <v>1</v>
      </c>
      <c r="Q6" s="23"/>
      <c r="R6" s="33"/>
      <c r="S6" s="18"/>
      <c r="T6" s="31"/>
      <c r="U6" s="18" t="s">
        <v>186</v>
      </c>
      <c r="V6" s="34">
        <v>6</v>
      </c>
      <c r="W6" s="18" t="s">
        <v>187</v>
      </c>
      <c r="X6" s="34">
        <v>4</v>
      </c>
      <c r="Y6" s="18" t="s">
        <v>182</v>
      </c>
      <c r="Z6" s="11">
        <v>4</v>
      </c>
      <c r="AA6" s="18" t="s">
        <v>183</v>
      </c>
      <c r="AB6" s="11">
        <v>2</v>
      </c>
      <c r="AC6" s="18" t="s">
        <v>132</v>
      </c>
      <c r="AD6" s="11">
        <v>1</v>
      </c>
      <c r="AE6" s="11">
        <f t="shared" si="0"/>
        <v>40</v>
      </c>
    </row>
    <row r="7" s="2" customFormat="1" ht="25" customHeight="1" spans="1:31">
      <c r="A7" s="30"/>
      <c r="B7" s="30"/>
      <c r="C7" s="30"/>
      <c r="D7" s="30"/>
      <c r="E7" s="31">
        <v>4</v>
      </c>
      <c r="F7" s="31" t="s">
        <v>156</v>
      </c>
      <c r="G7" s="31" t="s">
        <v>118</v>
      </c>
      <c r="H7" s="30" t="s">
        <v>173</v>
      </c>
      <c r="I7" s="23" t="s">
        <v>188</v>
      </c>
      <c r="J7" s="31">
        <v>7</v>
      </c>
      <c r="K7" s="17" t="s">
        <v>173</v>
      </c>
      <c r="L7" s="31">
        <v>8</v>
      </c>
      <c r="M7" s="24" t="s">
        <v>189</v>
      </c>
      <c r="N7" s="31">
        <v>7</v>
      </c>
      <c r="O7" s="17" t="s">
        <v>190</v>
      </c>
      <c r="P7" s="31">
        <v>1</v>
      </c>
      <c r="Q7" s="18"/>
      <c r="R7" s="33"/>
      <c r="S7" s="23"/>
      <c r="T7" s="31"/>
      <c r="U7" s="18" t="s">
        <v>186</v>
      </c>
      <c r="V7" s="34">
        <v>6</v>
      </c>
      <c r="W7" s="18" t="s">
        <v>187</v>
      </c>
      <c r="X7" s="34">
        <v>4</v>
      </c>
      <c r="Y7" s="18" t="s">
        <v>191</v>
      </c>
      <c r="Z7" s="11">
        <v>4</v>
      </c>
      <c r="AA7" s="18" t="s">
        <v>183</v>
      </c>
      <c r="AB7" s="11">
        <v>2</v>
      </c>
      <c r="AC7" s="18" t="s">
        <v>132</v>
      </c>
      <c r="AD7" s="11">
        <v>1</v>
      </c>
      <c r="AE7" s="11">
        <f t="shared" si="0"/>
        <v>40</v>
      </c>
    </row>
    <row r="8" s="2" customFormat="1" ht="25" customHeight="1" spans="1:31">
      <c r="A8" s="30"/>
      <c r="B8" s="30"/>
      <c r="C8" s="30"/>
      <c r="D8" s="30"/>
      <c r="E8" s="31">
        <v>5</v>
      </c>
      <c r="F8" s="31" t="s">
        <v>42</v>
      </c>
      <c r="G8" s="31" t="s">
        <v>118</v>
      </c>
      <c r="H8" s="30" t="s">
        <v>192</v>
      </c>
      <c r="I8" s="17" t="s">
        <v>193</v>
      </c>
      <c r="J8" s="31">
        <v>6</v>
      </c>
      <c r="K8" s="17" t="s">
        <v>192</v>
      </c>
      <c r="L8" s="31">
        <v>7</v>
      </c>
      <c r="M8" s="18" t="s">
        <v>194</v>
      </c>
      <c r="N8" s="31">
        <v>6</v>
      </c>
      <c r="O8" s="17" t="s">
        <v>179</v>
      </c>
      <c r="P8" s="31">
        <v>1</v>
      </c>
      <c r="Q8" s="23"/>
      <c r="R8" s="33"/>
      <c r="S8" s="23"/>
      <c r="T8" s="31"/>
      <c r="U8" s="18" t="s">
        <v>186</v>
      </c>
      <c r="V8" s="34">
        <v>4</v>
      </c>
      <c r="W8" s="18" t="s">
        <v>195</v>
      </c>
      <c r="X8" s="34">
        <v>4</v>
      </c>
      <c r="Y8" s="18" t="s">
        <v>191</v>
      </c>
      <c r="Z8" s="11">
        <v>4</v>
      </c>
      <c r="AA8" s="18" t="s">
        <v>183</v>
      </c>
      <c r="AB8" s="11">
        <v>2</v>
      </c>
      <c r="AC8" s="18" t="s">
        <v>132</v>
      </c>
      <c r="AD8" s="11">
        <v>1</v>
      </c>
      <c r="AE8" s="11">
        <f t="shared" si="0"/>
        <v>35</v>
      </c>
    </row>
    <row r="9" s="2" customFormat="1" ht="25" customHeight="1" spans="1:31">
      <c r="A9" s="30"/>
      <c r="B9" s="30"/>
      <c r="C9" s="30"/>
      <c r="D9" s="30"/>
      <c r="E9" s="31">
        <v>6</v>
      </c>
      <c r="F9" s="31" t="s">
        <v>42</v>
      </c>
      <c r="G9" s="31" t="s">
        <v>118</v>
      </c>
      <c r="H9" s="30" t="s">
        <v>196</v>
      </c>
      <c r="I9" s="23" t="s">
        <v>196</v>
      </c>
      <c r="J9" s="31">
        <v>6</v>
      </c>
      <c r="K9" s="23" t="s">
        <v>197</v>
      </c>
      <c r="L9" s="31">
        <v>7</v>
      </c>
      <c r="M9" s="24" t="s">
        <v>198</v>
      </c>
      <c r="N9" s="31">
        <v>6</v>
      </c>
      <c r="O9" s="17" t="s">
        <v>190</v>
      </c>
      <c r="P9" s="31">
        <v>1</v>
      </c>
      <c r="Q9" s="23"/>
      <c r="R9" s="33"/>
      <c r="S9" s="23"/>
      <c r="T9" s="31"/>
      <c r="U9" s="18" t="s">
        <v>199</v>
      </c>
      <c r="V9" s="34">
        <v>4</v>
      </c>
      <c r="W9" s="18" t="s">
        <v>195</v>
      </c>
      <c r="X9" s="34">
        <v>4</v>
      </c>
      <c r="Y9" s="18" t="s">
        <v>191</v>
      </c>
      <c r="Z9" s="11">
        <v>4</v>
      </c>
      <c r="AA9" s="18" t="s">
        <v>183</v>
      </c>
      <c r="AB9" s="11">
        <v>2</v>
      </c>
      <c r="AC9" s="18" t="s">
        <v>132</v>
      </c>
      <c r="AD9" s="11">
        <v>1</v>
      </c>
      <c r="AE9" s="11">
        <f t="shared" si="0"/>
        <v>35</v>
      </c>
    </row>
    <row r="10" s="2" customFormat="1" ht="25" customHeight="1" spans="1:31">
      <c r="A10" s="30"/>
      <c r="B10" s="30"/>
      <c r="C10" s="30"/>
      <c r="D10" s="30"/>
      <c r="E10" s="31">
        <v>7</v>
      </c>
      <c r="F10" s="31" t="s">
        <v>156</v>
      </c>
      <c r="G10" s="31" t="s">
        <v>200</v>
      </c>
      <c r="H10" s="30" t="s">
        <v>188</v>
      </c>
      <c r="I10" s="23" t="s">
        <v>188</v>
      </c>
      <c r="J10" s="31">
        <v>7</v>
      </c>
      <c r="K10" s="17" t="s">
        <v>201</v>
      </c>
      <c r="L10" s="31">
        <v>8</v>
      </c>
      <c r="M10" s="18" t="s">
        <v>202</v>
      </c>
      <c r="N10" s="31">
        <v>7</v>
      </c>
      <c r="O10" s="17" t="s">
        <v>179</v>
      </c>
      <c r="P10" s="31">
        <v>5</v>
      </c>
      <c r="Q10" s="32"/>
      <c r="R10" s="33"/>
      <c r="S10" s="23"/>
      <c r="T10" s="31"/>
      <c r="U10" s="18" t="s">
        <v>180</v>
      </c>
      <c r="V10" s="34">
        <v>6</v>
      </c>
      <c r="W10" s="18" t="s">
        <v>203</v>
      </c>
      <c r="X10" s="34">
        <v>4</v>
      </c>
      <c r="Y10" s="18"/>
      <c r="Z10" s="35"/>
      <c r="AA10" s="18" t="s">
        <v>183</v>
      </c>
      <c r="AB10" s="11">
        <v>2</v>
      </c>
      <c r="AC10" s="18" t="s">
        <v>132</v>
      </c>
      <c r="AD10" s="11">
        <v>1</v>
      </c>
      <c r="AE10" s="11">
        <f t="shared" si="0"/>
        <v>40</v>
      </c>
    </row>
    <row r="11" s="2" customFormat="1" ht="25" customHeight="1" spans="1:31">
      <c r="A11" s="30"/>
      <c r="B11" s="30"/>
      <c r="C11" s="30"/>
      <c r="D11" s="30"/>
      <c r="E11" s="31">
        <v>8</v>
      </c>
      <c r="F11" s="31" t="s">
        <v>42</v>
      </c>
      <c r="G11" s="31" t="s">
        <v>200</v>
      </c>
      <c r="H11" s="30" t="s">
        <v>189</v>
      </c>
      <c r="I11" s="23" t="s">
        <v>196</v>
      </c>
      <c r="J11" s="31">
        <v>6</v>
      </c>
      <c r="K11" s="23" t="s">
        <v>197</v>
      </c>
      <c r="L11" s="31">
        <v>7</v>
      </c>
      <c r="M11" s="23" t="s">
        <v>189</v>
      </c>
      <c r="N11" s="31">
        <v>6</v>
      </c>
      <c r="O11" s="17" t="s">
        <v>190</v>
      </c>
      <c r="P11" s="31">
        <v>5</v>
      </c>
      <c r="Q11" s="32"/>
      <c r="R11" s="33"/>
      <c r="S11" s="23"/>
      <c r="T11" s="31"/>
      <c r="U11" s="18" t="s">
        <v>199</v>
      </c>
      <c r="V11" s="34">
        <v>4</v>
      </c>
      <c r="W11" s="18" t="s">
        <v>195</v>
      </c>
      <c r="X11" s="34">
        <v>4</v>
      </c>
      <c r="Y11" s="18"/>
      <c r="Z11" s="35"/>
      <c r="AA11" s="18" t="s">
        <v>129</v>
      </c>
      <c r="AB11" s="11">
        <v>2</v>
      </c>
      <c r="AC11" s="18" t="s">
        <v>132</v>
      </c>
      <c r="AD11" s="11">
        <v>1</v>
      </c>
      <c r="AE11" s="11">
        <f t="shared" si="0"/>
        <v>35</v>
      </c>
    </row>
    <row r="12" s="2" customFormat="1" ht="25" customHeight="1" spans="1:31">
      <c r="A12" s="30"/>
      <c r="B12" s="30"/>
      <c r="C12" s="30"/>
      <c r="D12" s="30"/>
      <c r="E12" s="31">
        <v>9</v>
      </c>
      <c r="F12" s="31" t="s">
        <v>42</v>
      </c>
      <c r="G12" s="31" t="s">
        <v>204</v>
      </c>
      <c r="H12" s="30" t="s">
        <v>129</v>
      </c>
      <c r="I12" s="17" t="s">
        <v>205</v>
      </c>
      <c r="J12" s="31">
        <v>6</v>
      </c>
      <c r="K12" s="36" t="s">
        <v>206</v>
      </c>
      <c r="L12" s="31">
        <v>7</v>
      </c>
      <c r="M12" s="18" t="s">
        <v>194</v>
      </c>
      <c r="N12" s="31">
        <v>6</v>
      </c>
      <c r="O12" s="17" t="s">
        <v>190</v>
      </c>
      <c r="P12" s="31">
        <v>1</v>
      </c>
      <c r="Q12" s="23"/>
      <c r="R12" s="33"/>
      <c r="S12" s="17" t="s">
        <v>207</v>
      </c>
      <c r="T12" s="31">
        <v>4</v>
      </c>
      <c r="U12" s="18" t="s">
        <v>186</v>
      </c>
      <c r="V12" s="34">
        <v>4</v>
      </c>
      <c r="W12" s="18" t="s">
        <v>203</v>
      </c>
      <c r="X12" s="34">
        <v>4</v>
      </c>
      <c r="Y12" s="18" t="s">
        <v>182</v>
      </c>
      <c r="Z12" s="34">
        <v>4</v>
      </c>
      <c r="AA12" s="18" t="s">
        <v>129</v>
      </c>
      <c r="AB12" s="11">
        <v>2</v>
      </c>
      <c r="AC12" s="18" t="s">
        <v>132</v>
      </c>
      <c r="AD12" s="11">
        <v>1</v>
      </c>
      <c r="AE12" s="11">
        <v>35</v>
      </c>
    </row>
    <row r="13" s="2" customFormat="1" ht="25" customHeight="1" spans="1:31">
      <c r="A13" s="30"/>
      <c r="B13" s="30"/>
      <c r="C13" s="30"/>
      <c r="D13" s="30"/>
      <c r="E13" s="31">
        <v>10</v>
      </c>
      <c r="F13" s="31" t="s">
        <v>42</v>
      </c>
      <c r="G13" s="31" t="s">
        <v>145</v>
      </c>
      <c r="H13" s="30" t="s">
        <v>201</v>
      </c>
      <c r="I13" s="17" t="s">
        <v>205</v>
      </c>
      <c r="J13" s="31">
        <v>6</v>
      </c>
      <c r="K13" s="23" t="s">
        <v>201</v>
      </c>
      <c r="L13" s="31">
        <v>7</v>
      </c>
      <c r="M13" s="24" t="s">
        <v>198</v>
      </c>
      <c r="N13" s="31">
        <v>6</v>
      </c>
      <c r="O13" s="17" t="s">
        <v>190</v>
      </c>
      <c r="P13" s="31">
        <v>1</v>
      </c>
      <c r="Q13" s="23"/>
      <c r="R13" s="33"/>
      <c r="S13" s="17" t="s">
        <v>208</v>
      </c>
      <c r="T13" s="31">
        <v>4</v>
      </c>
      <c r="U13" s="18" t="s">
        <v>199</v>
      </c>
      <c r="V13" s="34">
        <v>4</v>
      </c>
      <c r="W13" s="18" t="s">
        <v>203</v>
      </c>
      <c r="X13" s="34">
        <v>4</v>
      </c>
      <c r="Y13" s="18"/>
      <c r="Z13" s="35"/>
      <c r="AA13" s="18" t="s">
        <v>129</v>
      </c>
      <c r="AB13" s="11">
        <v>2</v>
      </c>
      <c r="AC13" s="18" t="s">
        <v>132</v>
      </c>
      <c r="AD13" s="11">
        <v>1</v>
      </c>
      <c r="AE13" s="11">
        <f t="shared" ref="AE13:AE15" si="1">AD13+AB13+Z13+X13+V13+T13+R13+P13+N13+L13+J13</f>
        <v>35</v>
      </c>
    </row>
    <row r="14" s="2" customFormat="1" ht="25" customHeight="1" spans="1:31">
      <c r="A14" s="30"/>
      <c r="B14" s="30"/>
      <c r="C14" s="30"/>
      <c r="D14" s="30"/>
      <c r="E14" s="31">
        <v>11</v>
      </c>
      <c r="F14" s="31" t="s">
        <v>156</v>
      </c>
      <c r="G14" s="30" t="s">
        <v>209</v>
      </c>
      <c r="H14" s="30" t="s">
        <v>202</v>
      </c>
      <c r="I14" s="32" t="s">
        <v>184</v>
      </c>
      <c r="J14" s="31">
        <v>7</v>
      </c>
      <c r="K14" s="17" t="s">
        <v>192</v>
      </c>
      <c r="L14" s="31">
        <v>8</v>
      </c>
      <c r="M14" s="18" t="s">
        <v>202</v>
      </c>
      <c r="N14" s="31">
        <v>7</v>
      </c>
      <c r="O14" s="17" t="s">
        <v>179</v>
      </c>
      <c r="P14" s="31">
        <v>4</v>
      </c>
      <c r="Q14" s="17" t="s">
        <v>210</v>
      </c>
      <c r="R14" s="33" t="s">
        <v>126</v>
      </c>
      <c r="S14" s="17" t="s">
        <v>208</v>
      </c>
      <c r="T14" s="31">
        <v>4</v>
      </c>
      <c r="U14" s="18" t="s">
        <v>199</v>
      </c>
      <c r="V14" s="34">
        <v>1</v>
      </c>
      <c r="W14" s="18"/>
      <c r="X14" s="35"/>
      <c r="Y14" s="18"/>
      <c r="Z14" s="35"/>
      <c r="AA14" s="18" t="s">
        <v>211</v>
      </c>
      <c r="AB14" s="11">
        <v>2</v>
      </c>
      <c r="AC14" s="18" t="s">
        <v>132</v>
      </c>
      <c r="AD14" s="11">
        <v>1</v>
      </c>
      <c r="AE14" s="11">
        <f t="shared" si="1"/>
        <v>40</v>
      </c>
    </row>
    <row r="15" s="2" customFormat="1" ht="25" customHeight="1" spans="1:31">
      <c r="A15" s="30"/>
      <c r="B15" s="30"/>
      <c r="C15" s="30"/>
      <c r="D15" s="30"/>
      <c r="E15" s="31">
        <v>12</v>
      </c>
      <c r="F15" s="31" t="s">
        <v>42</v>
      </c>
      <c r="G15" s="30" t="s">
        <v>209</v>
      </c>
      <c r="H15" s="30" t="s">
        <v>193</v>
      </c>
      <c r="I15" s="17" t="s">
        <v>193</v>
      </c>
      <c r="J15" s="31">
        <v>6</v>
      </c>
      <c r="K15" s="36" t="s">
        <v>206</v>
      </c>
      <c r="L15" s="31">
        <v>7</v>
      </c>
      <c r="M15" s="17" t="s">
        <v>185</v>
      </c>
      <c r="N15" s="31">
        <v>6</v>
      </c>
      <c r="O15" s="17" t="s">
        <v>190</v>
      </c>
      <c r="P15" s="31">
        <v>4</v>
      </c>
      <c r="Q15" s="17" t="s">
        <v>210</v>
      </c>
      <c r="R15" s="33" t="s">
        <v>96</v>
      </c>
      <c r="S15" s="17" t="s">
        <v>208</v>
      </c>
      <c r="T15" s="31">
        <v>4</v>
      </c>
      <c r="U15" s="18" t="s">
        <v>199</v>
      </c>
      <c r="V15" s="34">
        <v>1</v>
      </c>
      <c r="W15" s="18"/>
      <c r="X15" s="35"/>
      <c r="Y15" s="23"/>
      <c r="Z15" s="35"/>
      <c r="AA15" s="18" t="s">
        <v>211</v>
      </c>
      <c r="AB15" s="11">
        <v>2</v>
      </c>
      <c r="AC15" s="18" t="s">
        <v>132</v>
      </c>
      <c r="AD15" s="11">
        <v>1</v>
      </c>
      <c r="AE15" s="11">
        <f t="shared" si="1"/>
        <v>35</v>
      </c>
    </row>
    <row r="16" s="2" customFormat="1" ht="12.75" spans="1:31">
      <c r="A16" s="27"/>
      <c r="M16" s="5"/>
    </row>
    <row r="17" s="2" customFormat="1" ht="12.75" spans="1:13">
      <c r="A17" s="27"/>
      <c r="K17" s="37"/>
      <c r="M17" s="5"/>
    </row>
    <row r="18" s="2" customFormat="1" ht="12.75" spans="1:13">
      <c r="A18" s="27"/>
      <c r="K18" s="37"/>
      <c r="M18" s="5"/>
    </row>
    <row r="19" s="2" customFormat="1" ht="12.75" spans="1:13">
      <c r="A19" s="27"/>
      <c r="M19" s="5"/>
    </row>
    <row r="20" s="2" customFormat="1" ht="12.75" spans="1:13">
      <c r="A20" s="27"/>
      <c r="H20" s="37"/>
      <c r="M20" s="5"/>
    </row>
    <row r="21" s="2" customFormat="1" ht="12.75" spans="1:13">
      <c r="A21" s="27"/>
      <c r="M21" s="28"/>
    </row>
    <row r="22" s="2" customFormat="1" ht="12.75" spans="1:13">
      <c r="A22" s="27"/>
      <c r="M22" s="5"/>
    </row>
    <row r="23" s="2" customFormat="1" ht="12.75" spans="1:13">
      <c r="A23" s="27"/>
      <c r="M23" s="5"/>
    </row>
    <row r="24" s="2" customFormat="1" ht="12.75" spans="1:13">
      <c r="A24" s="27"/>
      <c r="M24" s="5"/>
    </row>
    <row r="25" s="2" customFormat="1" ht="12.75" spans="1:13">
      <c r="A25" s="27"/>
      <c r="M25" s="5"/>
    </row>
    <row r="26" s="2" customFormat="1" ht="12.75" spans="1:13">
      <c r="A26" s="27"/>
      <c r="M26" s="5"/>
    </row>
    <row r="27" s="2" customFormat="1" ht="12.75" spans="1:13">
      <c r="A27" s="27"/>
      <c r="M27" s="5"/>
    </row>
    <row r="28" s="2" customFormat="1" ht="12.75" spans="1:13">
      <c r="A28" s="27"/>
      <c r="M28" s="5"/>
    </row>
    <row r="29" s="2" customFormat="1" ht="12.75" spans="1:13">
      <c r="A29" s="27"/>
      <c r="M29" s="5"/>
    </row>
    <row r="30" s="2" customFormat="1" ht="12.75" spans="1:13">
      <c r="A30" s="27"/>
      <c r="M30" s="5"/>
    </row>
    <row r="31" s="2" customFormat="1" ht="12.75" spans="1:13">
      <c r="A31" s="27"/>
      <c r="M31" s="5"/>
    </row>
    <row r="32" s="2" customFormat="1" ht="12.75" spans="1:13">
      <c r="A32" s="27"/>
      <c r="M32" s="5"/>
    </row>
    <row r="33" s="2" customFormat="1" ht="12.75" spans="1:13">
      <c r="A33" s="27"/>
      <c r="M33" s="5"/>
    </row>
    <row r="34" s="2" customFormat="1" ht="12.75" spans="1:13">
      <c r="A34" s="27"/>
      <c r="M34" s="5"/>
    </row>
  </sheetData>
  <mergeCells count="6">
    <mergeCell ref="A1:AE1"/>
    <mergeCell ref="Y2:AE2"/>
    <mergeCell ref="A4:A15"/>
    <mergeCell ref="B4:B15"/>
    <mergeCell ref="C4:C15"/>
    <mergeCell ref="D4:D15"/>
  </mergeCells>
  <printOptions gridLines="1"/>
  <pageMargins left="0.156944444444444" right="0.156944444444444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4"/>
  <sheetViews>
    <sheetView workbookViewId="0">
      <selection activeCell="U21" sqref="U21"/>
    </sheetView>
  </sheetViews>
  <sheetFormatPr defaultColWidth="9" defaultRowHeight="14.25"/>
  <cols>
    <col min="1" max="1" width="2.5" style="3" customWidth="1"/>
    <col min="2" max="2" width="2.25" style="1" customWidth="1"/>
    <col min="3" max="3" width="2.75" style="1" customWidth="1"/>
    <col min="4" max="4" width="7.75" style="1" customWidth="1"/>
    <col min="5" max="5" width="2.625" style="1" customWidth="1"/>
    <col min="6" max="6" width="4.96666666666667" style="1" customWidth="1"/>
    <col min="7" max="7" width="5.5" style="4" customWidth="1"/>
    <col min="8" max="8" width="6.31666666666667" style="5" customWidth="1"/>
    <col min="9" max="9" width="5" style="5" customWidth="1"/>
    <col min="10" max="10" width="2.825" style="4" customWidth="1"/>
    <col min="11" max="11" width="5.125" style="5" customWidth="1"/>
    <col min="12" max="12" width="2.825" style="4" customWidth="1"/>
    <col min="13" max="13" width="5.95" style="5" customWidth="1"/>
    <col min="14" max="14" width="2.825" style="4" customWidth="1"/>
    <col min="15" max="15" width="5.375" style="5" customWidth="1"/>
    <col min="16" max="16" width="2.825" style="4" customWidth="1"/>
    <col min="17" max="17" width="5" style="5" customWidth="1"/>
    <col min="18" max="18" width="2.825" style="4" customWidth="1"/>
    <col min="19" max="19" width="5.125" style="5" customWidth="1"/>
    <col min="20" max="20" width="2.825" style="4" customWidth="1"/>
    <col min="21" max="21" width="5.125" style="5" customWidth="1"/>
    <col min="22" max="22" width="2.825" style="4" customWidth="1"/>
    <col min="23" max="23" width="5.75" style="5" customWidth="1"/>
    <col min="24" max="24" width="2.825" style="4" customWidth="1"/>
    <col min="25" max="25" width="4.5" style="5" customWidth="1"/>
    <col min="26" max="26" width="2.825" style="4" customWidth="1"/>
    <col min="27" max="27" width="5.625" style="5" customWidth="1"/>
    <col min="28" max="28" width="2.825" style="4" customWidth="1"/>
    <col min="29" max="29" width="3.625" style="4" customWidth="1"/>
    <col min="30" max="30" width="2.825" style="4" customWidth="1"/>
    <col min="31" max="31" width="3.125" style="4" customWidth="1"/>
    <col min="32" max="16380" width="9" style="1"/>
    <col min="16381" max="16384" width="9" style="6"/>
  </cols>
  <sheetData>
    <row r="1" s="1" customFormat="1" ht="36" customHeight="1" spans="1:31 16381:16384">
      <c r="A1" s="7" t="s">
        <v>212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XFA1" s="6"/>
      <c r="XFB1" s="6"/>
      <c r="XFC1" s="6"/>
      <c r="XFD1" s="6"/>
    </row>
    <row r="2" s="1" customFormat="1" ht="15" customHeight="1" spans="1:31 16381:1638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 t="s">
        <v>54</v>
      </c>
      <c r="Z2" s="9"/>
      <c r="AA2" s="9"/>
      <c r="AB2" s="9"/>
      <c r="AC2" s="9"/>
      <c r="AD2" s="9"/>
      <c r="AE2" s="9"/>
      <c r="XFA2" s="6"/>
      <c r="XFB2" s="6"/>
      <c r="XFC2" s="6"/>
      <c r="XFD2" s="6"/>
    </row>
    <row r="3" s="2" customFormat="1" ht="27" customHeight="1" spans="1:31 16381:16384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1" t="s">
        <v>213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10</v>
      </c>
      <c r="M3" s="11" t="s">
        <v>12</v>
      </c>
      <c r="N3" s="11" t="s">
        <v>10</v>
      </c>
      <c r="O3" s="11" t="s">
        <v>13</v>
      </c>
      <c r="P3" s="11" t="s">
        <v>10</v>
      </c>
      <c r="Q3" s="11" t="s">
        <v>14</v>
      </c>
      <c r="R3" s="11" t="s">
        <v>10</v>
      </c>
      <c r="S3" s="11" t="s">
        <v>15</v>
      </c>
      <c r="T3" s="11" t="s">
        <v>10</v>
      </c>
      <c r="U3" s="11" t="s">
        <v>56</v>
      </c>
      <c r="V3" s="11" t="s">
        <v>10</v>
      </c>
      <c r="W3" s="11" t="s">
        <v>57</v>
      </c>
      <c r="X3" s="11" t="s">
        <v>10</v>
      </c>
      <c r="Y3" s="11" t="s">
        <v>16</v>
      </c>
      <c r="Z3" s="11" t="s">
        <v>10</v>
      </c>
      <c r="AA3" s="11" t="s">
        <v>17</v>
      </c>
      <c r="AB3" s="11" t="s">
        <v>10</v>
      </c>
      <c r="AC3" s="11" t="s">
        <v>18</v>
      </c>
      <c r="AD3" s="11" t="s">
        <v>10</v>
      </c>
      <c r="AE3" s="12" t="s">
        <v>214</v>
      </c>
    </row>
    <row r="4" s="2" customFormat="1" ht="25" customHeight="1" spans="1:31 16381:16384">
      <c r="A4" s="13" t="s">
        <v>215</v>
      </c>
      <c r="B4" s="13" t="s">
        <v>216</v>
      </c>
      <c r="C4" s="13" t="s">
        <v>217</v>
      </c>
      <c r="D4" s="13" t="s">
        <v>218</v>
      </c>
      <c r="E4" s="14">
        <v>1</v>
      </c>
      <c r="F4" s="15" t="s">
        <v>28</v>
      </c>
      <c r="G4" s="16" t="s">
        <v>118</v>
      </c>
      <c r="H4" s="15" t="s">
        <v>219</v>
      </c>
      <c r="I4" s="14" t="s">
        <v>220</v>
      </c>
      <c r="J4" s="14">
        <v>7</v>
      </c>
      <c r="K4" s="17" t="s">
        <v>219</v>
      </c>
      <c r="L4" s="14">
        <v>8</v>
      </c>
      <c r="M4" s="17" t="s">
        <v>221</v>
      </c>
      <c r="N4" s="14">
        <v>7</v>
      </c>
      <c r="O4" s="18"/>
      <c r="P4" s="14"/>
      <c r="Q4" s="19"/>
      <c r="R4" s="20"/>
      <c r="S4" s="18"/>
      <c r="T4" s="14"/>
      <c r="U4" s="18" t="s">
        <v>222</v>
      </c>
      <c r="V4" s="21">
        <v>6</v>
      </c>
      <c r="W4" s="18" t="s">
        <v>223</v>
      </c>
      <c r="X4" s="21">
        <v>5</v>
      </c>
      <c r="Y4" s="18" t="s">
        <v>224</v>
      </c>
      <c r="Z4" s="14">
        <v>5</v>
      </c>
      <c r="AA4" s="18" t="s">
        <v>211</v>
      </c>
      <c r="AB4" s="14">
        <v>1</v>
      </c>
      <c r="AC4" s="14" t="s">
        <v>216</v>
      </c>
      <c r="AD4" s="14">
        <v>1</v>
      </c>
      <c r="AE4" s="16">
        <f t="shared" ref="AE4:AE16" si="0">AD4+AB4+Z4+X4+V4+T4+R4+P4+N4+L4+J4</f>
        <v>40</v>
      </c>
    </row>
    <row r="5" s="2" customFormat="1" ht="25" customHeight="1" spans="1:31 16381:16384">
      <c r="A5" s="22"/>
      <c r="B5" s="22"/>
      <c r="C5" s="22"/>
      <c r="D5" s="22"/>
      <c r="E5" s="14">
        <v>2</v>
      </c>
      <c r="F5" s="15" t="s">
        <v>28</v>
      </c>
      <c r="G5" s="16" t="s">
        <v>162</v>
      </c>
      <c r="H5" s="16" t="s">
        <v>225</v>
      </c>
      <c r="I5" s="14" t="s">
        <v>226</v>
      </c>
      <c r="J5" s="14">
        <v>7</v>
      </c>
      <c r="K5" s="23" t="s">
        <v>227</v>
      </c>
      <c r="L5" s="14">
        <v>8</v>
      </c>
      <c r="M5" s="23" t="s">
        <v>225</v>
      </c>
      <c r="N5" s="14">
        <v>7</v>
      </c>
      <c r="O5" s="14" t="s">
        <v>228</v>
      </c>
      <c r="P5" s="14">
        <v>5</v>
      </c>
      <c r="Q5" s="14" t="s">
        <v>159</v>
      </c>
      <c r="R5" s="20" t="s">
        <v>126</v>
      </c>
      <c r="S5" s="14" t="s">
        <v>229</v>
      </c>
      <c r="T5" s="14">
        <v>5</v>
      </c>
      <c r="U5" s="23"/>
      <c r="V5" s="20"/>
      <c r="W5" s="23"/>
      <c r="X5" s="20"/>
      <c r="Y5" s="23"/>
      <c r="Z5" s="14"/>
      <c r="AA5" s="18" t="s">
        <v>211</v>
      </c>
      <c r="AB5" s="14">
        <v>1</v>
      </c>
      <c r="AC5" s="14" t="s">
        <v>216</v>
      </c>
      <c r="AD5" s="14">
        <v>1</v>
      </c>
      <c r="AE5" s="16">
        <f t="shared" si="0"/>
        <v>40</v>
      </c>
    </row>
    <row r="6" s="2" customFormat="1" ht="25" customHeight="1" spans="1:31 16381:16384">
      <c r="A6" s="22"/>
      <c r="B6" s="22"/>
      <c r="C6" s="22"/>
      <c r="D6" s="22"/>
      <c r="E6" s="14">
        <v>3</v>
      </c>
      <c r="F6" s="15" t="s">
        <v>156</v>
      </c>
      <c r="G6" s="16" t="s">
        <v>118</v>
      </c>
      <c r="H6" s="15" t="s">
        <v>227</v>
      </c>
      <c r="I6" s="19" t="s">
        <v>230</v>
      </c>
      <c r="J6" s="14">
        <v>7</v>
      </c>
      <c r="K6" s="17" t="s">
        <v>227</v>
      </c>
      <c r="L6" s="14">
        <v>8</v>
      </c>
      <c r="M6" s="17" t="s">
        <v>231</v>
      </c>
      <c r="N6" s="14">
        <v>7</v>
      </c>
      <c r="O6" s="17"/>
      <c r="P6" s="14"/>
      <c r="Q6" s="23"/>
      <c r="R6" s="20"/>
      <c r="S6" s="18"/>
      <c r="T6" s="14"/>
      <c r="U6" s="18" t="s">
        <v>222</v>
      </c>
      <c r="V6" s="21">
        <v>6</v>
      </c>
      <c r="W6" s="23" t="s">
        <v>223</v>
      </c>
      <c r="X6" s="21">
        <v>5</v>
      </c>
      <c r="Y6" s="18" t="s">
        <v>224</v>
      </c>
      <c r="Z6" s="14">
        <v>5</v>
      </c>
      <c r="AA6" s="18" t="s">
        <v>211</v>
      </c>
      <c r="AB6" s="14">
        <v>1</v>
      </c>
      <c r="AC6" s="14" t="s">
        <v>216</v>
      </c>
      <c r="AD6" s="14">
        <v>1</v>
      </c>
      <c r="AE6" s="16">
        <f t="shared" si="0"/>
        <v>40</v>
      </c>
    </row>
    <row r="7" s="2" customFormat="1" ht="25" customHeight="1" spans="1:31 16381:16384">
      <c r="A7" s="22"/>
      <c r="B7" s="22"/>
      <c r="C7" s="22"/>
      <c r="D7" s="22"/>
      <c r="E7" s="14">
        <v>4</v>
      </c>
      <c r="F7" s="15" t="s">
        <v>156</v>
      </c>
      <c r="G7" s="15" t="s">
        <v>118</v>
      </c>
      <c r="H7" s="15" t="s">
        <v>220</v>
      </c>
      <c r="I7" s="14" t="s">
        <v>220</v>
      </c>
      <c r="J7" s="14">
        <v>7</v>
      </c>
      <c r="K7" s="23" t="s">
        <v>219</v>
      </c>
      <c r="L7" s="14">
        <v>8</v>
      </c>
      <c r="M7" s="24" t="s">
        <v>225</v>
      </c>
      <c r="N7" s="14">
        <v>7</v>
      </c>
      <c r="O7" s="23"/>
      <c r="P7" s="14"/>
      <c r="Q7" s="18"/>
      <c r="R7" s="20"/>
      <c r="S7" s="23"/>
      <c r="T7" s="14"/>
      <c r="U7" s="23" t="s">
        <v>232</v>
      </c>
      <c r="V7" s="21">
        <v>6</v>
      </c>
      <c r="W7" s="18" t="s">
        <v>233</v>
      </c>
      <c r="X7" s="21">
        <v>5</v>
      </c>
      <c r="Y7" s="23" t="s">
        <v>224</v>
      </c>
      <c r="Z7" s="14">
        <v>5</v>
      </c>
      <c r="AA7" s="18" t="s">
        <v>211</v>
      </c>
      <c r="AB7" s="14">
        <v>1</v>
      </c>
      <c r="AC7" s="14" t="s">
        <v>216</v>
      </c>
      <c r="AD7" s="14">
        <v>1</v>
      </c>
      <c r="AE7" s="16">
        <f t="shared" si="0"/>
        <v>40</v>
      </c>
    </row>
    <row r="8" s="2" customFormat="1" ht="25" customHeight="1" spans="1:31 16381:16384">
      <c r="A8" s="22"/>
      <c r="B8" s="22"/>
      <c r="C8" s="22"/>
      <c r="D8" s="22"/>
      <c r="E8" s="14">
        <v>5</v>
      </c>
      <c r="F8" s="15" t="s">
        <v>156</v>
      </c>
      <c r="G8" s="15" t="s">
        <v>200</v>
      </c>
      <c r="H8" s="15" t="s">
        <v>230</v>
      </c>
      <c r="I8" s="17" t="s">
        <v>230</v>
      </c>
      <c r="J8" s="14">
        <v>7</v>
      </c>
      <c r="K8" s="17" t="s">
        <v>234</v>
      </c>
      <c r="L8" s="14">
        <v>8</v>
      </c>
      <c r="M8" s="18" t="s">
        <v>221</v>
      </c>
      <c r="N8" s="14">
        <v>7</v>
      </c>
      <c r="O8" s="14" t="s">
        <v>228</v>
      </c>
      <c r="P8" s="14">
        <v>5</v>
      </c>
      <c r="Q8" s="23"/>
      <c r="R8" s="20"/>
      <c r="S8" s="23"/>
      <c r="T8" s="14"/>
      <c r="U8" s="23" t="s">
        <v>235</v>
      </c>
      <c r="V8" s="21">
        <v>6</v>
      </c>
      <c r="W8" s="18" t="s">
        <v>236</v>
      </c>
      <c r="X8" s="21">
        <v>5</v>
      </c>
      <c r="Y8" s="18"/>
      <c r="Z8" s="20"/>
      <c r="AA8" s="18" t="s">
        <v>211</v>
      </c>
      <c r="AB8" s="14">
        <v>1</v>
      </c>
      <c r="AC8" s="14" t="s">
        <v>216</v>
      </c>
      <c r="AD8" s="14">
        <v>1</v>
      </c>
      <c r="AE8" s="16">
        <f t="shared" si="0"/>
        <v>40</v>
      </c>
    </row>
    <row r="9" s="2" customFormat="1" ht="25" customHeight="1" spans="1:31 16381:16384">
      <c r="A9" s="22"/>
      <c r="B9" s="22"/>
      <c r="C9" s="22"/>
      <c r="D9" s="22"/>
      <c r="E9" s="14">
        <v>6</v>
      </c>
      <c r="F9" s="14" t="s">
        <v>42</v>
      </c>
      <c r="G9" s="15" t="s">
        <v>145</v>
      </c>
      <c r="H9" s="15" t="s">
        <v>232</v>
      </c>
      <c r="I9" s="23" t="s">
        <v>237</v>
      </c>
      <c r="J9" s="14">
        <v>7</v>
      </c>
      <c r="K9" s="23" t="s">
        <v>238</v>
      </c>
      <c r="L9" s="14">
        <v>8</v>
      </c>
      <c r="M9" s="24" t="s">
        <v>239</v>
      </c>
      <c r="N9" s="14">
        <v>7</v>
      </c>
      <c r="O9" s="18"/>
      <c r="P9" s="14"/>
      <c r="Q9" s="23"/>
      <c r="R9" s="20"/>
      <c r="S9" s="14" t="s">
        <v>207</v>
      </c>
      <c r="T9" s="14">
        <v>5</v>
      </c>
      <c r="U9" s="23" t="s">
        <v>232</v>
      </c>
      <c r="V9" s="21">
        <v>6</v>
      </c>
      <c r="W9" s="23" t="s">
        <v>233</v>
      </c>
      <c r="X9" s="21">
        <v>5</v>
      </c>
      <c r="Y9" s="23"/>
      <c r="Z9" s="20"/>
      <c r="AA9" s="18" t="s">
        <v>211</v>
      </c>
      <c r="AB9" s="14">
        <v>1</v>
      </c>
      <c r="AC9" s="14" t="s">
        <v>216</v>
      </c>
      <c r="AD9" s="14">
        <v>1</v>
      </c>
      <c r="AE9" s="16">
        <f t="shared" si="0"/>
        <v>40</v>
      </c>
    </row>
    <row r="10" s="2" customFormat="1" ht="25" customHeight="1" spans="1:31 16381:16384">
      <c r="A10" s="22"/>
      <c r="B10" s="22"/>
      <c r="C10" s="22"/>
      <c r="D10" s="22"/>
      <c r="E10" s="14">
        <v>7</v>
      </c>
      <c r="F10" s="14" t="s">
        <v>42</v>
      </c>
      <c r="G10" s="14" t="s">
        <v>168</v>
      </c>
      <c r="H10" s="15" t="s">
        <v>240</v>
      </c>
      <c r="I10" s="17" t="s">
        <v>240</v>
      </c>
      <c r="J10" s="14">
        <v>7</v>
      </c>
      <c r="K10" s="17" t="s">
        <v>234</v>
      </c>
      <c r="L10" s="14">
        <v>8</v>
      </c>
      <c r="M10" s="18" t="s">
        <v>231</v>
      </c>
      <c r="N10" s="14">
        <v>7</v>
      </c>
      <c r="O10" s="14" t="s">
        <v>241</v>
      </c>
      <c r="P10" s="14">
        <v>5</v>
      </c>
      <c r="Q10" s="19" t="s">
        <v>210</v>
      </c>
      <c r="R10" s="20" t="s">
        <v>126</v>
      </c>
      <c r="S10" s="23"/>
      <c r="T10" s="14"/>
      <c r="U10" s="23"/>
      <c r="V10" s="20"/>
      <c r="W10" s="23"/>
      <c r="X10" s="20"/>
      <c r="Y10" s="18" t="s">
        <v>128</v>
      </c>
      <c r="Z10" s="16">
        <v>5</v>
      </c>
      <c r="AA10" s="18" t="s">
        <v>211</v>
      </c>
      <c r="AB10" s="14">
        <v>1</v>
      </c>
      <c r="AC10" s="14" t="s">
        <v>216</v>
      </c>
      <c r="AD10" s="14">
        <v>1</v>
      </c>
      <c r="AE10" s="16">
        <f t="shared" si="0"/>
        <v>40</v>
      </c>
    </row>
    <row r="11" s="2" customFormat="1" ht="25" customHeight="1" spans="1:31 16381:16384">
      <c r="A11" s="22"/>
      <c r="B11" s="22"/>
      <c r="C11" s="22"/>
      <c r="D11" s="22"/>
      <c r="E11" s="14">
        <v>8</v>
      </c>
      <c r="F11" s="14" t="s">
        <v>42</v>
      </c>
      <c r="G11" s="14" t="s">
        <v>118</v>
      </c>
      <c r="H11" s="15" t="s">
        <v>238</v>
      </c>
      <c r="I11" s="23" t="s">
        <v>242</v>
      </c>
      <c r="J11" s="14">
        <v>7</v>
      </c>
      <c r="K11" s="23" t="s">
        <v>238</v>
      </c>
      <c r="L11" s="14">
        <v>8</v>
      </c>
      <c r="M11" s="23" t="s">
        <v>243</v>
      </c>
      <c r="N11" s="14">
        <v>7</v>
      </c>
      <c r="O11" s="23"/>
      <c r="P11" s="14"/>
      <c r="Q11" s="19"/>
      <c r="R11" s="20"/>
      <c r="S11" s="23"/>
      <c r="T11" s="14"/>
      <c r="U11" s="23" t="s">
        <v>222</v>
      </c>
      <c r="V11" s="21">
        <v>6</v>
      </c>
      <c r="W11" s="23" t="s">
        <v>233</v>
      </c>
      <c r="X11" s="21">
        <v>5</v>
      </c>
      <c r="Y11" s="18" t="s">
        <v>244</v>
      </c>
      <c r="Z11" s="20" t="s">
        <v>139</v>
      </c>
      <c r="AA11" s="18" t="s">
        <v>211</v>
      </c>
      <c r="AB11" s="14">
        <v>1</v>
      </c>
      <c r="AC11" s="14" t="s">
        <v>216</v>
      </c>
      <c r="AD11" s="14">
        <v>1</v>
      </c>
      <c r="AE11" s="16">
        <f t="shared" si="0"/>
        <v>40</v>
      </c>
    </row>
    <row r="12" s="2" customFormat="1" ht="25" customHeight="1" spans="1:31 16381:16384">
      <c r="A12" s="22"/>
      <c r="B12" s="22"/>
      <c r="C12" s="22"/>
      <c r="D12" s="22"/>
      <c r="E12" s="14">
        <v>9</v>
      </c>
      <c r="F12" s="14" t="s">
        <v>42</v>
      </c>
      <c r="G12" s="14" t="s">
        <v>200</v>
      </c>
      <c r="H12" s="15" t="s">
        <v>211</v>
      </c>
      <c r="I12" s="17" t="s">
        <v>237</v>
      </c>
      <c r="J12" s="14">
        <v>7</v>
      </c>
      <c r="K12" s="19" t="s">
        <v>245</v>
      </c>
      <c r="L12" s="14">
        <v>8</v>
      </c>
      <c r="M12" s="17" t="s">
        <v>246</v>
      </c>
      <c r="N12" s="14">
        <v>7</v>
      </c>
      <c r="O12" s="14" t="s">
        <v>228</v>
      </c>
      <c r="P12" s="14">
        <v>5</v>
      </c>
      <c r="Q12" s="23"/>
      <c r="R12" s="20"/>
      <c r="S12" s="23"/>
      <c r="T12" s="14"/>
      <c r="U12" s="23" t="s">
        <v>232</v>
      </c>
      <c r="V12" s="21">
        <v>6</v>
      </c>
      <c r="W12" s="18" t="s">
        <v>223</v>
      </c>
      <c r="X12" s="21">
        <v>5</v>
      </c>
      <c r="Y12" s="18"/>
      <c r="Z12" s="20"/>
      <c r="AA12" s="18" t="s">
        <v>211</v>
      </c>
      <c r="AB12" s="14">
        <v>1</v>
      </c>
      <c r="AC12" s="14" t="s">
        <v>216</v>
      </c>
      <c r="AD12" s="14">
        <v>1</v>
      </c>
      <c r="AE12" s="16">
        <f t="shared" si="0"/>
        <v>40</v>
      </c>
    </row>
    <row r="13" s="2" customFormat="1" ht="25" customHeight="1" spans="1:31 16381:16384">
      <c r="A13" s="22"/>
      <c r="B13" s="22"/>
      <c r="C13" s="22"/>
      <c r="D13" s="22"/>
      <c r="E13" s="14">
        <v>10</v>
      </c>
      <c r="F13" s="14" t="s">
        <v>42</v>
      </c>
      <c r="G13" s="14" t="s">
        <v>118</v>
      </c>
      <c r="H13" s="15" t="s">
        <v>245</v>
      </c>
      <c r="I13" s="23" t="s">
        <v>242</v>
      </c>
      <c r="J13" s="14">
        <v>7</v>
      </c>
      <c r="K13" s="23" t="s">
        <v>245</v>
      </c>
      <c r="L13" s="14">
        <v>8</v>
      </c>
      <c r="M13" s="23" t="s">
        <v>243</v>
      </c>
      <c r="N13" s="14">
        <v>7</v>
      </c>
      <c r="O13" s="23"/>
      <c r="P13" s="14"/>
      <c r="Q13" s="23"/>
      <c r="R13" s="20"/>
      <c r="S13" s="23"/>
      <c r="T13" s="14"/>
      <c r="U13" s="23" t="s">
        <v>235</v>
      </c>
      <c r="V13" s="21">
        <v>6</v>
      </c>
      <c r="W13" s="18" t="s">
        <v>236</v>
      </c>
      <c r="X13" s="21">
        <v>5</v>
      </c>
      <c r="Y13" s="18" t="s">
        <v>244</v>
      </c>
      <c r="Z13" s="20" t="s">
        <v>139</v>
      </c>
      <c r="AA13" s="18" t="s">
        <v>211</v>
      </c>
      <c r="AB13" s="14">
        <v>1</v>
      </c>
      <c r="AC13" s="14" t="s">
        <v>216</v>
      </c>
      <c r="AD13" s="14">
        <v>1</v>
      </c>
      <c r="AE13" s="16">
        <f t="shared" si="0"/>
        <v>40</v>
      </c>
    </row>
    <row r="14" s="2" customFormat="1" ht="25" customHeight="1" spans="1:31 16381:16384">
      <c r="A14" s="22"/>
      <c r="B14" s="22"/>
      <c r="C14" s="22"/>
      <c r="D14" s="22"/>
      <c r="E14" s="14">
        <v>11</v>
      </c>
      <c r="F14" s="14" t="s">
        <v>42</v>
      </c>
      <c r="G14" s="15" t="s">
        <v>200</v>
      </c>
      <c r="H14" s="15" t="s">
        <v>226</v>
      </c>
      <c r="I14" s="14" t="s">
        <v>226</v>
      </c>
      <c r="J14" s="14">
        <v>7</v>
      </c>
      <c r="K14" s="17" t="s">
        <v>247</v>
      </c>
      <c r="L14" s="14">
        <v>8</v>
      </c>
      <c r="M14" s="18" t="s">
        <v>246</v>
      </c>
      <c r="N14" s="14">
        <v>7</v>
      </c>
      <c r="O14" s="14" t="s">
        <v>241</v>
      </c>
      <c r="P14" s="14">
        <v>5</v>
      </c>
      <c r="Q14" s="23"/>
      <c r="R14" s="20"/>
      <c r="S14" s="23"/>
      <c r="T14" s="14"/>
      <c r="U14" s="17" t="s">
        <v>235</v>
      </c>
      <c r="V14" s="21">
        <v>6</v>
      </c>
      <c r="W14" s="18" t="s">
        <v>236</v>
      </c>
      <c r="X14" s="21">
        <v>5</v>
      </c>
      <c r="Y14" s="18"/>
      <c r="Z14" s="20"/>
      <c r="AA14" s="18" t="s">
        <v>211</v>
      </c>
      <c r="AB14" s="14">
        <v>1</v>
      </c>
      <c r="AC14" s="14" t="s">
        <v>216</v>
      </c>
      <c r="AD14" s="14">
        <v>1</v>
      </c>
      <c r="AE14" s="16">
        <f t="shared" si="0"/>
        <v>40</v>
      </c>
    </row>
    <row r="15" s="2" customFormat="1" ht="25" customHeight="1" spans="1:31 16381:16384">
      <c r="A15" s="22"/>
      <c r="B15" s="22"/>
      <c r="C15" s="22"/>
      <c r="D15" s="22"/>
      <c r="E15" s="14">
        <v>12</v>
      </c>
      <c r="F15" s="14" t="s">
        <v>42</v>
      </c>
      <c r="G15" s="15" t="s">
        <v>162</v>
      </c>
      <c r="H15" s="15" t="s">
        <v>159</v>
      </c>
      <c r="I15" s="23" t="s">
        <v>240</v>
      </c>
      <c r="J15" s="14">
        <v>7</v>
      </c>
      <c r="K15" s="23" t="s">
        <v>247</v>
      </c>
      <c r="L15" s="14">
        <v>8</v>
      </c>
      <c r="M15" s="23" t="s">
        <v>239</v>
      </c>
      <c r="N15" s="14">
        <v>7</v>
      </c>
      <c r="O15" s="14" t="s">
        <v>241</v>
      </c>
      <c r="P15" s="14">
        <v>5</v>
      </c>
      <c r="Q15" s="14" t="s">
        <v>159</v>
      </c>
      <c r="R15" s="20" t="s">
        <v>126</v>
      </c>
      <c r="S15" s="14" t="s">
        <v>229</v>
      </c>
      <c r="T15" s="14">
        <v>5</v>
      </c>
      <c r="U15" s="23"/>
      <c r="V15" s="20"/>
      <c r="W15" s="18"/>
      <c r="X15" s="20"/>
      <c r="Y15" s="23"/>
      <c r="Z15" s="20"/>
      <c r="AA15" s="18" t="s">
        <v>211</v>
      </c>
      <c r="AB15" s="14">
        <v>1</v>
      </c>
      <c r="AC15" s="14" t="s">
        <v>216</v>
      </c>
      <c r="AD15" s="14">
        <v>1</v>
      </c>
      <c r="AE15" s="16">
        <f t="shared" si="0"/>
        <v>40</v>
      </c>
    </row>
    <row r="16" s="2" customFormat="1" ht="25" customHeight="1" spans="1:31 16381:16384">
      <c r="A16" s="25"/>
      <c r="B16" s="25"/>
      <c r="C16" s="25"/>
      <c r="D16" s="25"/>
      <c r="E16" s="26"/>
      <c r="F16" s="16" t="s">
        <v>170</v>
      </c>
      <c r="G16" s="16"/>
      <c r="H16" s="16"/>
      <c r="I16" s="16"/>
      <c r="J16" s="16"/>
      <c r="K16" s="16"/>
      <c r="L16" s="16"/>
      <c r="M16" s="16"/>
      <c r="N16" s="16"/>
      <c r="O16" s="14" t="s">
        <v>228</v>
      </c>
      <c r="P16" s="16">
        <v>5</v>
      </c>
      <c r="Q16" s="16"/>
      <c r="R16" s="16"/>
      <c r="S16" s="14" t="s">
        <v>207</v>
      </c>
      <c r="T16" s="16">
        <v>5</v>
      </c>
      <c r="U16" s="16"/>
      <c r="V16" s="16"/>
      <c r="W16" s="16"/>
      <c r="X16" s="16"/>
      <c r="Y16" s="16"/>
      <c r="Z16" s="16"/>
      <c r="AA16" s="16"/>
      <c r="AB16" s="16"/>
      <c r="AC16" s="14" t="s">
        <v>216</v>
      </c>
      <c r="AD16" s="14"/>
      <c r="AE16" s="16">
        <f t="shared" si="0"/>
        <v>10</v>
      </c>
    </row>
    <row r="17" s="2" customFormat="1" ht="12.75" spans="1:31">
      <c r="A17" s="27"/>
      <c r="G17" s="5"/>
      <c r="H17" s="5"/>
      <c r="I17" s="5"/>
      <c r="J17" s="5"/>
      <c r="K17" s="2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="2" customFormat="1" ht="12.75" spans="1:31">
      <c r="A18" s="27"/>
      <c r="G18" s="5"/>
      <c r="H18" s="5"/>
      <c r="I18" s="5"/>
      <c r="J18" s="5"/>
      <c r="K18" s="2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="2" customFormat="1" ht="12.75" spans="1:31">
      <c r="A19" s="2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="2" customFormat="1" ht="12.75" spans="1:31">
      <c r="A20" s="27"/>
      <c r="G20" s="5"/>
      <c r="H20" s="2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="2" customFormat="1" ht="12.75" spans="1:31">
      <c r="A21" s="27"/>
      <c r="G21" s="5"/>
      <c r="H21" s="5"/>
      <c r="I21" s="5"/>
      <c r="J21" s="5"/>
      <c r="K21" s="5"/>
      <c r="L21" s="5"/>
      <c r="M21" s="2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="2" customFormat="1" ht="12.75" spans="1:31">
      <c r="A22" s="2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="2" customFormat="1" ht="12.75" spans="1:31">
      <c r="A23" s="2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="2" customFormat="1" ht="12.75" spans="1:31">
      <c r="A24" s="2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="2" customFormat="1" ht="12.75" spans="1:31">
      <c r="A25" s="2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="2" customFormat="1" ht="12.75" spans="1:31">
      <c r="A26" s="2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="2" customFormat="1" ht="12.75" spans="1:31">
      <c r="A27" s="2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="2" customFormat="1" ht="12.75" spans="1:31">
      <c r="A28" s="2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="2" customFormat="1" ht="12.75" spans="1:31">
      <c r="A29" s="2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="2" customFormat="1" ht="12.75" spans="1:31">
      <c r="A30" s="2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="2" customFormat="1" ht="12.75" spans="1:31">
      <c r="A31" s="2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="2" customFormat="1" ht="12.75" spans="1:31">
      <c r="A32" s="2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="2" customFormat="1" ht="12.75" spans="1:31">
      <c r="A33" s="2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="2" customFormat="1" ht="12.75" spans="1:31">
      <c r="A34" s="2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</sheetData>
  <mergeCells count="6">
    <mergeCell ref="A1:AE1"/>
    <mergeCell ref="Y2:AE2"/>
    <mergeCell ref="A4:A16"/>
    <mergeCell ref="B4:B16"/>
    <mergeCell ref="C4:C16"/>
    <mergeCell ref="D4:D16"/>
  </mergeCells>
  <pageMargins left="0.275" right="0.118055555555556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镇巴中学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初一</vt:lpstr>
      <vt:lpstr>初二</vt:lpstr>
      <vt:lpstr>初三</vt:lpstr>
      <vt:lpstr>高一</vt:lpstr>
      <vt:lpstr>高二</vt:lpstr>
      <vt:lpstr>高三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LP_HOPE</cp:lastModifiedBy>
  <dcterms:created xsi:type="dcterms:W3CDTF">2016-08-29T14:29:00Z</dcterms:created>
  <cp:lastPrinted>2024-11-22T00:17:00Z</cp:lastPrinted>
  <dcterms:modified xsi:type="dcterms:W3CDTF">2026-03-09T09:31:29Z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AE99A85BDF5645E18DAF219297CEBD34_13</vt:lpwstr>
  </property>
  <property fmtid="{D5CDD505-2E9C-101B-9397-08002B2CF9AE}" pid="4" name="CalculationRule">
    <vt:i4>0</vt:i4>
  </property>
</Properties>
</file>